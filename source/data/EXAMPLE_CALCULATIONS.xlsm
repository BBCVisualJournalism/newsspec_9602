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codeName="ThisWorkbook" autoCompressPictures="0"/>
  <bookViews>
    <workbookView xWindow="720" yWindow="560" windowWidth="38400" windowHeight="23560" activeTab="3"/>
  </bookViews>
  <sheets>
    <sheet name="model" sheetId="2" r:id="rId1"/>
    <sheet name="master" sheetId="1" r:id="rId2"/>
    <sheet name="wages" sheetId="3" r:id="rId3"/>
    <sheet name="testing" sheetId="4" r:id="rId4"/>
  </sheets>
  <definedNames>
    <definedName name="userdata">master!$A$2:$L$217</definedName>
    <definedName name="wagesdata">wages!$A$2:$P$27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9" i="2" l="1"/>
  <c r="C47" i="2"/>
  <c r="B48" i="2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2" i="4"/>
  <c r="M6" i="3"/>
  <c r="B8" i="2"/>
  <c r="B4" i="2"/>
  <c r="C42" i="2"/>
  <c r="B3" i="2"/>
  <c r="C26" i="2"/>
  <c r="C27" i="2"/>
  <c r="B42" i="2"/>
  <c r="E34" i="2"/>
  <c r="B6" i="2"/>
  <c r="B5" i="2"/>
  <c r="C33" i="2"/>
  <c r="C34" i="2"/>
  <c r="B33" i="2"/>
  <c r="B34" i="2"/>
  <c r="B26" i="2"/>
  <c r="B13" i="2"/>
  <c r="B14" i="2"/>
  <c r="B27" i="2"/>
  <c r="B15" i="2"/>
  <c r="D28" i="2"/>
  <c r="E29" i="2"/>
  <c r="C15" i="2"/>
  <c r="C48" i="2"/>
  <c r="C49" i="2"/>
  <c r="D50" i="2"/>
  <c r="D51" i="2"/>
  <c r="D43" i="2"/>
  <c r="E36" i="2"/>
  <c r="D35" i="2"/>
  <c r="D29" i="2"/>
  <c r="M2" i="3"/>
  <c r="L2" i="3"/>
  <c r="H2" i="3"/>
  <c r="G2" i="3"/>
  <c r="L6" i="3"/>
  <c r="J6" i="3"/>
  <c r="G6" i="3"/>
  <c r="H6" i="3"/>
  <c r="C16" i="2"/>
  <c r="C17" i="2"/>
  <c r="C18" i="2"/>
  <c r="D19" i="2"/>
</calcChain>
</file>

<file path=xl/sharedStrings.xml><?xml version="1.0" encoding="utf-8"?>
<sst xmlns="http://schemas.openxmlformats.org/spreadsheetml/2006/main" count="828" uniqueCount="608">
  <si>
    <t>Country Name</t>
  </si>
  <si>
    <t>Country Code</t>
  </si>
  <si>
    <t>Currency</t>
  </si>
  <si>
    <t>PPP conversion rate</t>
  </si>
  <si>
    <t>Year</t>
  </si>
  <si>
    <t>Nominal monthly wage in local currency, latest year</t>
  </si>
  <si>
    <t>Nominal monthly wage in PPP $, latest year</t>
  </si>
  <si>
    <t>Latest year</t>
  </si>
  <si>
    <t>Nominal annual wage in local currency</t>
  </si>
  <si>
    <t>Nominal annual wage in PPP $</t>
  </si>
  <si>
    <t>Nominal weekly wage in local currency</t>
  </si>
  <si>
    <t>Nominal weekly wage in PPP $</t>
  </si>
  <si>
    <t>Afghanistan</t>
  </si>
  <si>
    <t>AFG</t>
  </si>
  <si>
    <t>?</t>
  </si>
  <si>
    <t>Albania</t>
  </si>
  <si>
    <t>ALB</t>
  </si>
  <si>
    <t>Lek</t>
  </si>
  <si>
    <t>Algeria</t>
  </si>
  <si>
    <t>DZA</t>
  </si>
  <si>
    <t>Angola</t>
  </si>
  <si>
    <t>AGO</t>
  </si>
  <si>
    <t>Antigua and Barbuda</t>
  </si>
  <si>
    <t>ATG</t>
  </si>
  <si>
    <t>Armenia</t>
  </si>
  <si>
    <t>ARM</t>
  </si>
  <si>
    <t>Aruba</t>
  </si>
  <si>
    <t>ABW</t>
  </si>
  <si>
    <t>ƒ</t>
  </si>
  <si>
    <t>Australia</t>
  </si>
  <si>
    <t>AUS</t>
  </si>
  <si>
    <t>$</t>
  </si>
  <si>
    <t>Austria</t>
  </si>
  <si>
    <t>AUT</t>
  </si>
  <si>
    <t>€</t>
  </si>
  <si>
    <t>Azerbaijan</t>
  </si>
  <si>
    <t>AZE</t>
  </si>
  <si>
    <t>???</t>
  </si>
  <si>
    <t>Bahamas, The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</si>
  <si>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</si>
  <si>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</si>
  <si>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</si>
  <si>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</si>
  <si>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</si>
  <si>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</si>
  <si>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</si>
  <si>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</si>
  <si>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</si>
  <si>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p.</t>
  </si>
  <si>
    <t>Belgium</t>
  </si>
  <si>
    <t>BEL</t>
  </si>
  <si>
    <t>Belize</t>
  </si>
  <si>
    <t>BLZ</t>
  </si>
  <si>
    <t>BZ$</t>
  </si>
  <si>
    <t>Benin</t>
  </si>
  <si>
    <t>BEN</t>
  </si>
  <si>
    <t>Bhutan</t>
  </si>
  <si>
    <t>BTN</t>
  </si>
  <si>
    <t>Bolivia</t>
  </si>
  <si>
    <t>BOL</t>
  </si>
  <si>
    <t>$b</t>
  </si>
  <si>
    <t>Bosnia and Herzegovina</t>
  </si>
  <si>
    <t>BIH</t>
  </si>
  <si>
    <t>Botswana</t>
  </si>
  <si>
    <t>BWA</t>
  </si>
  <si>
    <t>P</t>
  </si>
  <si>
    <t>Brazil</t>
  </si>
  <si>
    <t>BRA</t>
  </si>
  <si>
    <t>R$</t>
  </si>
  <si>
    <t>Brunei Darussalam</t>
  </si>
  <si>
    <t>BRN</t>
  </si>
  <si>
    <t>Bulgaria</t>
  </si>
  <si>
    <t>BGR</t>
  </si>
  <si>
    <t>??</t>
  </si>
  <si>
    <t>Burkina Faso</t>
  </si>
  <si>
    <t>BFA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</si>
  <si>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</si>
  <si>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</si>
  <si>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</si>
  <si>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</si>
  <si>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</si>
  <si>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</si>
  <si>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</si>
  <si>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</si>
  <si>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Canada</t>
  </si>
  <si>
    <t>CAN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</si>
  <si>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</si>
  <si>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</si>
  <si>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</si>
  <si>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</si>
  <si>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</si>
  <si>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</si>
  <si>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</si>
  <si>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</si>
  <si>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¥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</si>
  <si>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</si>
  <si>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</si>
  <si>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</si>
  <si>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</si>
  <si>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</si>
  <si>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</si>
  <si>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</si>
  <si>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</si>
  <si>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</si>
  <si>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</si>
  <si>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</si>
  <si>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</si>
  <si>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</si>
  <si>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</si>
  <si>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kn</t>
  </si>
  <si>
    <t>Cyprus</t>
  </si>
  <si>
    <t>CYP</t>
  </si>
  <si>
    <t>Czech Republic</t>
  </si>
  <si>
    <t>CZE</t>
  </si>
  <si>
    <t>K?</t>
  </si>
  <si>
    <t>Denmark</t>
  </si>
  <si>
    <t>DNK</t>
  </si>
  <si>
    <t>kr</t>
  </si>
  <si>
    <t>Djibouti</t>
  </si>
  <si>
    <t>DJI</t>
  </si>
  <si>
    <t>Dominica</t>
  </si>
  <si>
    <t>DMA</t>
  </si>
  <si>
    <t>Dominican Republic</t>
  </si>
  <si>
    <t>DOM</t>
  </si>
  <si>
    <t>RD$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</si>
  <si>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</si>
  <si>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</si>
  <si>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</si>
  <si>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</si>
  <si>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</si>
  <si>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</si>
  <si>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</si>
  <si>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</si>
  <si>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Estonia</t>
  </si>
  <si>
    <t>EST</t>
  </si>
  <si>
    <t>Ethiopia</t>
  </si>
  <si>
    <t>ETH</t>
  </si>
  <si>
    <t>Fiji</t>
  </si>
  <si>
    <t>FJI</t>
  </si>
  <si>
    <t>Finland</t>
  </si>
  <si>
    <t>FIN</t>
  </si>
  <si>
    <t>France</t>
  </si>
  <si>
    <t>FRA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</si>
  <si>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</si>
  <si>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</si>
  <si>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</si>
  <si>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</si>
  <si>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</si>
  <si>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</si>
  <si>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</si>
  <si>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</si>
  <si>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</si>
  <si>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</si>
  <si>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¢</t>
  </si>
  <si>
    <t>Greece</t>
  </si>
  <si>
    <t>GRC</t>
  </si>
  <si>
    <t>Grenada</t>
  </si>
  <si>
    <t>GRD</t>
  </si>
  <si>
    <t>Guatemala</t>
  </si>
  <si>
    <t>GTM</t>
  </si>
  <si>
    <t>Q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</si>
  <si>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</si>
  <si>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</si>
  <si>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</si>
  <si>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</si>
  <si>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</si>
  <si>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</si>
  <si>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</si>
  <si>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</si>
  <si>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</si>
  <si>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</si>
  <si>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L</t>
  </si>
  <si>
    <t>Hong Kong SAR, China</t>
  </si>
  <si>
    <t>HKG</t>
  </si>
  <si>
    <t>Hungary</t>
  </si>
  <si>
    <t>HUN</t>
  </si>
  <si>
    <t>Ft</t>
  </si>
  <si>
    <t>Iceland</t>
  </si>
  <si>
    <t>ISL</t>
  </si>
  <si>
    <t>India</t>
  </si>
  <si>
    <t>IND</t>
  </si>
  <si>
    <t>Indonesia</t>
  </si>
  <si>
    <t>IDN</t>
  </si>
  <si>
    <t>Rp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</si>
  <si>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</si>
  <si>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</si>
  <si>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</si>
  <si>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</si>
  <si>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</si>
  <si>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</si>
  <si>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</si>
  <si>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</si>
  <si>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</si>
  <si>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</si>
  <si>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</si>
  <si>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</si>
  <si>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J$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</si>
  <si>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</si>
  <si>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</si>
  <si>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</si>
  <si>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</si>
  <si>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</si>
  <si>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</si>
  <si>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</si>
  <si>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</si>
  <si>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Korea, Rep.</t>
  </si>
  <si>
    <t>KOR</t>
  </si>
  <si>
    <t>Kosovo</t>
  </si>
  <si>
    <t>KSV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</si>
  <si>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</si>
  <si>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</si>
  <si>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</si>
  <si>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</si>
  <si>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</si>
  <si>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</si>
  <si>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</si>
  <si>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</si>
  <si>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Ls</t>
  </si>
  <si>
    <t>Lesotho</t>
  </si>
  <si>
    <t>LSO</t>
  </si>
  <si>
    <t>Liberia</t>
  </si>
  <si>
    <t>LBR</t>
  </si>
  <si>
    <t>Lithuania</t>
  </si>
  <si>
    <t>LTU</t>
  </si>
  <si>
    <t>Lt</t>
  </si>
  <si>
    <t>Luxembourg</t>
  </si>
  <si>
    <t>LUX</t>
  </si>
  <si>
    <t>Macao SAR,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</si>
  <si>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</si>
  <si>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</si>
  <si>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</si>
  <si>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</si>
  <si>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</si>
  <si>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</si>
  <si>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</si>
  <si>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</si>
  <si>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</si>
  <si>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RM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</si>
  <si>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</si>
  <si>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</si>
  <si>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</si>
  <si>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</si>
  <si>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</si>
  <si>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</si>
  <si>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</si>
  <si>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</si>
  <si>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</si>
  <si>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</si>
  <si>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</si>
  <si>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</si>
  <si>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</si>
  <si>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</si>
  <si>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</si>
  <si>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</si>
  <si>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</si>
  <si>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</si>
  <si>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</si>
  <si>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</si>
  <si>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</si>
  <si>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</si>
  <si>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MT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</si>
  <si>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</si>
  <si>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</si>
  <si>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</si>
  <si>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</si>
  <si>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</si>
  <si>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</si>
  <si>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</si>
  <si>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</si>
  <si>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New Zealand</t>
  </si>
  <si>
    <t>NZL</t>
  </si>
  <si>
    <t>Nicaragua</t>
  </si>
  <si>
    <t>NIC</t>
  </si>
  <si>
    <t>C$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</si>
  <si>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</si>
  <si>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</si>
  <si>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</si>
  <si>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</si>
  <si>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</si>
  <si>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</si>
  <si>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</si>
  <si>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</si>
  <si>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</si>
  <si>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</si>
  <si>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</si>
  <si>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</si>
  <si>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B/.</t>
  </si>
  <si>
    <t>Papua New Guinea</t>
  </si>
  <si>
    <t>PNG</t>
  </si>
  <si>
    <t>Paraguay</t>
  </si>
  <si>
    <t>PRY</t>
  </si>
  <si>
    <t>Gs</t>
  </si>
  <si>
    <t>Peru</t>
  </si>
  <si>
    <t>PER</t>
  </si>
  <si>
    <t>S/.</t>
  </si>
  <si>
    <t>Philippines</t>
  </si>
  <si>
    <t>PHL</t>
  </si>
  <si>
    <t>Poland</t>
  </si>
  <si>
    <t>POL</t>
  </si>
  <si>
    <t>z?</t>
  </si>
  <si>
    <t>Portugal</t>
  </si>
  <si>
    <t>PRT</t>
  </si>
  <si>
    <t>Qatar</t>
  </si>
  <si>
    <t>QAT</t>
  </si>
  <si>
    <t>Romania</t>
  </si>
  <si>
    <t>ROM</t>
  </si>
  <si>
    <t>lei</t>
  </si>
  <si>
    <t>Russian Federation</t>
  </si>
  <si>
    <t>RUS</t>
  </si>
  <si>
    <t>Rwanda</t>
  </si>
  <si>
    <t>RWA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</si>
  <si>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</si>
  <si>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</si>
  <si>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</si>
  <si>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</si>
  <si>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</si>
  <si>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</si>
  <si>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</si>
  <si>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</si>
  <si>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</si>
  <si>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</si>
  <si>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</si>
  <si>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</si>
  <si>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???.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</si>
  <si>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</si>
  <si>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</si>
  <si>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</si>
  <si>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</si>
  <si>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</si>
  <si>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</si>
  <si>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</si>
  <si>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</si>
  <si>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</si>
  <si>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</si>
  <si>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</si>
  <si>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</si>
  <si>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South Africa</t>
  </si>
  <si>
    <t>ZAF</t>
  </si>
  <si>
    <t>R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</si>
  <si>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</si>
  <si>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</si>
  <si>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</si>
  <si>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</si>
  <si>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</si>
  <si>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</si>
  <si>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</si>
  <si>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</si>
  <si>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</si>
  <si>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</si>
  <si>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</si>
  <si>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</si>
  <si>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</si>
  <si>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</si>
  <si>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</si>
  <si>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</si>
  <si>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</si>
  <si>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</si>
  <si>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CHF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</si>
  <si>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</si>
  <si>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</si>
  <si>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</si>
  <si>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</si>
  <si>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</si>
  <si>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</si>
  <si>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</si>
  <si>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</si>
  <si>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</si>
  <si>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</si>
  <si>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</si>
  <si>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</si>
  <si>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</si>
  <si>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</si>
  <si>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</si>
  <si>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</si>
  <si>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</si>
  <si>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</si>
  <si>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Uganda</t>
  </si>
  <si>
    <t>UGA</t>
  </si>
  <si>
    <t>Ukraine</t>
  </si>
  <si>
    <t>UKR</t>
  </si>
  <si>
    <t>United Kingdom</t>
  </si>
  <si>
    <t>GBR</t>
  </si>
  <si>
    <t>£</t>
  </si>
  <si>
    <t>United States</t>
  </si>
  <si>
    <t>USA</t>
  </si>
  <si>
    <t>Uruguay</t>
  </si>
  <si>
    <t>URY</t>
  </si>
  <si>
    <t>$U</t>
  </si>
  <si>
    <t>Vanuatu</t>
  </si>
  <si>
    <t>VUT</t>
  </si>
  <si>
    <t>Venezuela, RB</t>
  </si>
  <si>
    <t>VEN</t>
  </si>
  <si>
    <t>Vietnam</t>
  </si>
  <si>
    <t>VNM</t>
  </si>
  <si>
    <t>Yemen, Rep.</t>
  </si>
  <si>
    <t>YEM</t>
  </si>
  <si>
    <t>Zambia</t>
  </si>
  <si>
    <t>ZMB</t>
  </si>
  <si>
    <t>American Samoa</t>
  </si>
  <si>
    <t>ASM</t>
  </si>
  <si>
    <t>Andean Region</t>
  </si>
  <si>
    <t>ANR</t>
  </si>
  <si>
    <t>Andorra</t>
  </si>
  <si>
    <t>ADO</t>
  </si>
  <si>
    <t>Argentina</t>
  </si>
  <si>
    <t>ARG</t>
  </si>
  <si>
    <t>Bermuda</t>
  </si>
  <si>
    <t>BMU</t>
  </si>
  <si>
    <t>Cayman Islands</t>
  </si>
  <si>
    <t>CYM</t>
  </si>
  <si>
    <t>Channel Islands</t>
  </si>
  <si>
    <t>CHI</t>
  </si>
  <si>
    <t>Cuba</t>
  </si>
  <si>
    <t>CUB</t>
  </si>
  <si>
    <t>Curacao</t>
  </si>
  <si>
    <t>CUW</t>
  </si>
  <si>
    <t>Eritrea</t>
  </si>
  <si>
    <t>ERI</t>
  </si>
  <si>
    <t>Faeroe Islands</t>
  </si>
  <si>
    <t>FRO</t>
  </si>
  <si>
    <t>French Polynesia</t>
  </si>
  <si>
    <t>PYF</t>
  </si>
  <si>
    <t>Greenland</t>
  </si>
  <si>
    <t>GRL</t>
  </si>
  <si>
    <t>Guam</t>
  </si>
  <si>
    <t>GUM</t>
  </si>
  <si>
    <t>Isle of Man</t>
  </si>
  <si>
    <t>IMY</t>
  </si>
  <si>
    <t>Kiribati</t>
  </si>
  <si>
    <t>KIR</t>
  </si>
  <si>
    <t>Korea, Dem. Rep.</t>
  </si>
  <si>
    <t>PRK</t>
  </si>
  <si>
    <t>Lebanon</t>
  </si>
  <si>
    <t>LBN</t>
  </si>
  <si>
    <t>Libya</t>
  </si>
  <si>
    <t>LBY</t>
  </si>
  <si>
    <t>Liechtenstein</t>
  </si>
  <si>
    <t>LIE</t>
  </si>
  <si>
    <t>Marshall Islands</t>
  </si>
  <si>
    <t>MHL</t>
  </si>
  <si>
    <t>Mexico and Central America</t>
  </si>
  <si>
    <t>MCA</t>
  </si>
  <si>
    <t>Micronesia, Fed. Sts.</t>
  </si>
  <si>
    <t>FSM</t>
  </si>
  <si>
    <t>Monaco</t>
  </si>
  <si>
    <t>MCO</t>
  </si>
  <si>
    <t>New Caledonia</t>
  </si>
  <si>
    <t>NCL</t>
  </si>
  <si>
    <t>Northern Mariana Islands</t>
  </si>
  <si>
    <t>MNP</t>
  </si>
  <si>
    <t>Palau</t>
  </si>
  <si>
    <t>PLW</t>
  </si>
  <si>
    <t>Puerto Rico</t>
  </si>
  <si>
    <t>PRI</t>
  </si>
  <si>
    <t>Sint Maarten (Dutch part)</t>
  </si>
  <si>
    <t>SXM</t>
  </si>
  <si>
    <t>Somalia</t>
  </si>
  <si>
    <t>SOM</t>
  </si>
  <si>
    <t>S</t>
  </si>
  <si>
    <t>South Sudan</t>
  </si>
  <si>
    <t>SSD</t>
  </si>
  <si>
    <t>St. Martin (French part)</t>
  </si>
  <si>
    <t>MAF</t>
  </si>
  <si>
    <t>Sudan</t>
  </si>
  <si>
    <t>SDN</t>
  </si>
  <si>
    <t>Syrian Arab Republic</t>
  </si>
  <si>
    <t>SYR</t>
  </si>
  <si>
    <t>Turkmenistan</t>
  </si>
  <si>
    <t>TKM</t>
  </si>
  <si>
    <t>Turks and Caicos Islands</t>
  </si>
  <si>
    <t>TCA</t>
  </si>
  <si>
    <t>Tuvalu</t>
  </si>
  <si>
    <t>TUV</t>
  </si>
  <si>
    <t>United Arab Emirates</t>
  </si>
  <si>
    <t>ARE</t>
  </si>
  <si>
    <t>Uzbekistan</t>
  </si>
  <si>
    <t>UZB</t>
  </si>
  <si>
    <t>Virgin Islands (U.S.)</t>
  </si>
  <si>
    <t>VIR</t>
  </si>
  <si>
    <t>West Bank and Gaza</t>
  </si>
  <si>
    <t>WBG</t>
  </si>
  <si>
    <t>Zimbabwe</t>
  </si>
  <si>
    <t>ZWE</t>
  </si>
  <si>
    <t>Z$</t>
  </si>
  <si>
    <t>USER INPUT</t>
  </si>
  <si>
    <t>Wayne Rooney</t>
  </si>
  <si>
    <t>Annual Salary</t>
  </si>
  <si>
    <t>Convert by PPP</t>
  </si>
  <si>
    <t>Name</t>
  </si>
  <si>
    <t>Club</t>
  </si>
  <si>
    <t>Nationality</t>
  </si>
  <si>
    <t>League</t>
  </si>
  <si>
    <t>Country based</t>
  </si>
  <si>
    <t>PPP conversion</t>
  </si>
  <si>
    <t>Wage per week local currency</t>
  </si>
  <si>
    <t>Wage per week PPP $</t>
  </si>
  <si>
    <t>Annual wage local currency</t>
  </si>
  <si>
    <t>Annual wage PPP</t>
  </si>
  <si>
    <t>monthly salary in local currency</t>
  </si>
  <si>
    <t>t-shirt price local currency</t>
  </si>
  <si>
    <t>t-shirt price PPP</t>
  </si>
  <si>
    <t>Jose Mourinho</t>
  </si>
  <si>
    <t>Chelsea</t>
  </si>
  <si>
    <t>Portuguese</t>
  </si>
  <si>
    <t>Premier League</t>
  </si>
  <si>
    <t>England</t>
  </si>
  <si>
    <t>Eden Hazard</t>
  </si>
  <si>
    <t>Belgian</t>
  </si>
  <si>
    <t>Manchester United</t>
  </si>
  <si>
    <t>English</t>
  </si>
  <si>
    <t>Angel Di Maria</t>
  </si>
  <si>
    <t>Argentine</t>
  </si>
  <si>
    <t>Alexis Sanchez</t>
  </si>
  <si>
    <t>Arsenal</t>
  </si>
  <si>
    <t>Chilean</t>
  </si>
  <si>
    <t>Mesut Ozil</t>
  </si>
  <si>
    <t>German</t>
  </si>
  <si>
    <t>Yaya Toure</t>
  </si>
  <si>
    <t>Manchester City</t>
  </si>
  <si>
    <t>Ivorian</t>
  </si>
  <si>
    <t>Sergio Aguero</t>
  </si>
  <si>
    <t>Mario Balotelli</t>
  </si>
  <si>
    <t>Liverpool</t>
  </si>
  <si>
    <t>Italian</t>
  </si>
  <si>
    <t>Radamel Falcao</t>
  </si>
  <si>
    <t>Colombian</t>
  </si>
  <si>
    <t>Cesc Fabregas</t>
  </si>
  <si>
    <t>Spanish</t>
  </si>
  <si>
    <t>Samuel Eto'o</t>
  </si>
  <si>
    <t>Everton</t>
  </si>
  <si>
    <t>Cameroonian</t>
  </si>
  <si>
    <t>Pep Guardiola</t>
  </si>
  <si>
    <t>Bayern Munich</t>
  </si>
  <si>
    <t>Bundesliga</t>
  </si>
  <si>
    <t>Leo Messi</t>
  </si>
  <si>
    <t>Barcelona</t>
  </si>
  <si>
    <t>La Liga</t>
  </si>
  <si>
    <t>Christiano Ronaldo</t>
  </si>
  <si>
    <t>Real Madrid</t>
  </si>
  <si>
    <t>Gareth Bale</t>
  </si>
  <si>
    <t>Welsh</t>
  </si>
  <si>
    <t>James Rodriguez</t>
  </si>
  <si>
    <t>Neymar</t>
  </si>
  <si>
    <t>Brazilian</t>
  </si>
  <si>
    <t>Luis Suarez</t>
  </si>
  <si>
    <t xml:space="preserve">Uruguayan </t>
  </si>
  <si>
    <t>Zlatan Ibrahimovic</t>
  </si>
  <si>
    <t>PSG</t>
  </si>
  <si>
    <t>Swedish</t>
  </si>
  <si>
    <t>Ligue 1</t>
  </si>
  <si>
    <t>Gianluigi Buffon</t>
  </si>
  <si>
    <t>Juventus</t>
  </si>
  <si>
    <t>Serie A</t>
  </si>
  <si>
    <t>Edinson Cavani</t>
  </si>
  <si>
    <t>Arjen Robben</t>
  </si>
  <si>
    <t>Dutch</t>
  </si>
  <si>
    <t>Clint Dempsey</t>
  </si>
  <si>
    <t>Seattle Sounders</t>
  </si>
  <si>
    <t>US</t>
  </si>
  <si>
    <t>MLS</t>
  </si>
  <si>
    <t>Daily salary</t>
  </si>
  <si>
    <t>Hourly</t>
  </si>
  <si>
    <t>Minute</t>
  </si>
  <si>
    <t>Minutes for player to earn your weekly salary (divide weekly salary by player's wage per minute</t>
  </si>
  <si>
    <t>Annual salary</t>
  </si>
  <si>
    <t>in PPP</t>
  </si>
  <si>
    <t>Number of years it would take user to earn Rooney's  annual salary</t>
  </si>
  <si>
    <t>When user would have to start</t>
  </si>
  <si>
    <t>USER INPUT EXAMPLE</t>
  </si>
  <si>
    <t>COUNTRY AVG WAGE</t>
  </si>
  <si>
    <t>PPP</t>
  </si>
  <si>
    <t>How many times the country avg wage you earn</t>
  </si>
  <si>
    <t>WORLD AVG WAGE</t>
  </si>
  <si>
    <t>How many times the world avg wage you earn</t>
  </si>
  <si>
    <t>T-shirt</t>
  </si>
  <si>
    <t>Cost of t-shirts</t>
  </si>
  <si>
    <t>subtract one</t>
  </si>
  <si>
    <t>Annual wage local currency rounded</t>
  </si>
  <si>
    <t>Casey Stoney</t>
  </si>
  <si>
    <t>Arsenal Ladies</t>
  </si>
  <si>
    <t>FA Women's Super League</t>
  </si>
  <si>
    <t>Alex Morgan</t>
  </si>
  <si>
    <t>Portland Thorns FC</t>
  </si>
  <si>
    <t>NWSL</t>
  </si>
  <si>
    <t>Steph Houghton</t>
  </si>
  <si>
    <t>Element 1</t>
  </si>
  <si>
    <t>PLAYER</t>
  </si>
  <si>
    <t>Element 2</t>
  </si>
  <si>
    <t>User Input</t>
  </si>
  <si>
    <t>USER SALARY</t>
  </si>
  <si>
    <t>COUNTRY AVG WAGE ANNUAL</t>
  </si>
  <si>
    <t>WORLD AVERAGE WAGE in PPP (MONTHLY)</t>
  </si>
  <si>
    <t>Element 3</t>
  </si>
  <si>
    <t>Player Annual Salary</t>
  </si>
  <si>
    <t>TSHIRT COST</t>
  </si>
  <si>
    <t>Element 4</t>
  </si>
  <si>
    <t>Element 5</t>
  </si>
  <si>
    <t>PLAYER COUNTRY PPP</t>
  </si>
  <si>
    <t>USER COUNTRY AVERAGE WAGE (MONTHLY)</t>
  </si>
  <si>
    <t>USER COUNTRY PPP</t>
  </si>
  <si>
    <t>Female player UK</t>
  </si>
  <si>
    <t>Female player US</t>
  </si>
  <si>
    <t>User country</t>
  </si>
  <si>
    <t>Weekly salary (PPP Weighed)</t>
  </si>
  <si>
    <t>Player to compare against</t>
  </si>
  <si>
    <t>User annual salary</t>
  </si>
  <si>
    <t>Minutes for player to earn your weekly salary</t>
  </si>
  <si>
    <t>element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</si>
</sst>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287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3" fontId="0" fillId="0" borderId="0" xfId="0" applyNumberFormat="1"/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NumberFormat="1"/>
    <xf numFmtId="0" fontId="2" fillId="2" borderId="0" xfId="0" applyFont="1" applyFill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</cellXfs>
  <cellStyles count="28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51"/>
  <sheetViews>
    <sheetView workbookViewId="0">
      <selection activeCell="C3" sqref="C3"/>
    </sheetView>
  </sheetViews>
  <sheetFormatPr baseColWidth="10" defaultColWidth="8.83203125" defaultRowHeight="12" x14ac:dyDescent="0"/>
  <cols>
    <col min="1" max="1" width="46.83203125" customWidth="1"/>
    <col min="2" max="2" width="17.1640625" customWidth="1"/>
    <col min="3" max="3" width="22.83203125" customWidth="1"/>
    <col min="4" max="4" width="12.5" customWidth="1"/>
    <col min="6" max="6" width="8.83203125" style="2"/>
  </cols>
  <sheetData>
    <row r="1" spans="1:7" s="2" customFormat="1">
      <c r="A1" s="2" t="s">
        <v>602</v>
      </c>
      <c r="B1" s="2" t="s">
        <v>380</v>
      </c>
    </row>
    <row r="2" spans="1:7" s="2" customFormat="1">
      <c r="A2" s="2" t="s">
        <v>589</v>
      </c>
      <c r="B2" s="2">
        <v>192136</v>
      </c>
    </row>
    <row r="3" spans="1:7" s="2" customFormat="1">
      <c r="A3" s="2" t="s">
        <v>586</v>
      </c>
      <c r="B3" s="2">
        <f>VLOOKUP(C3,wagesdata,7,0)</f>
        <v>213000</v>
      </c>
      <c r="C3" s="2" t="s">
        <v>517</v>
      </c>
    </row>
    <row r="4" spans="1:7" s="2" customFormat="1">
      <c r="A4" s="2" t="s">
        <v>597</v>
      </c>
      <c r="B4" s="2">
        <f>VLOOKUP(C3,wagesdata,6,0)</f>
        <v>0.78142254799999999</v>
      </c>
    </row>
    <row r="5" spans="1:7" s="2" customFormat="1">
      <c r="A5" s="2" t="s">
        <v>599</v>
      </c>
      <c r="B5" s="5">
        <f>VLOOKUP(B1,userdata,4,0)</f>
        <v>0.78142254799999999</v>
      </c>
    </row>
    <row r="6" spans="1:7" s="2" customFormat="1">
      <c r="A6" s="2" t="s">
        <v>598</v>
      </c>
      <c r="B6" s="2">
        <f>VLOOKUP(B1,userdata,6,0)</f>
        <v>2176.1999999999998</v>
      </c>
    </row>
    <row r="7" spans="1:7" s="2" customFormat="1">
      <c r="A7" s="2" t="s">
        <v>591</v>
      </c>
      <c r="B7" s="2">
        <v>1600</v>
      </c>
    </row>
    <row r="8" spans="1:7" s="2" customFormat="1">
      <c r="A8" s="2" t="s">
        <v>594</v>
      </c>
      <c r="B8" s="2">
        <f>VLOOKUP(C3,wagesdata,14,0)</f>
        <v>66.95</v>
      </c>
    </row>
    <row r="9" spans="1:7" s="2" customFormat="1">
      <c r="A9" s="2" t="s">
        <v>600</v>
      </c>
      <c r="B9" s="2">
        <v>50000</v>
      </c>
      <c r="C9" s="2" t="s">
        <v>584</v>
      </c>
      <c r="D9" s="2">
        <v>0.78142254799999999</v>
      </c>
    </row>
    <row r="10" spans="1:7" s="2" customFormat="1">
      <c r="A10" s="2" t="s">
        <v>601</v>
      </c>
      <c r="B10" s="2">
        <v>282000</v>
      </c>
      <c r="C10" s="2" t="s">
        <v>581</v>
      </c>
      <c r="D10" s="2">
        <v>1</v>
      </c>
    </row>
    <row r="11" spans="1:7" s="2" customFormat="1">
      <c r="G11"/>
    </row>
    <row r="12" spans="1:7">
      <c r="A12" s="4" t="s">
        <v>585</v>
      </c>
      <c r="B12" s="2" t="s">
        <v>484</v>
      </c>
      <c r="C12" s="2"/>
    </row>
    <row r="13" spans="1:7">
      <c r="A13" s="2" t="s">
        <v>486</v>
      </c>
      <c r="B13" s="2">
        <f>B2</f>
        <v>192136</v>
      </c>
      <c r="C13" s="2"/>
    </row>
    <row r="14" spans="1:7">
      <c r="A14" s="2" t="s">
        <v>487</v>
      </c>
      <c r="B14" s="2">
        <f>IF(B5&lt;&gt;0,B13/B5,0)</f>
        <v>245879.77463890638</v>
      </c>
      <c r="C14" s="2"/>
    </row>
    <row r="15" spans="1:7">
      <c r="A15" s="2" t="s">
        <v>603</v>
      </c>
      <c r="B15" s="2">
        <f>IF(B14=0,(B7*12)/52,B14/52)</f>
        <v>4728.4572045943532</v>
      </c>
      <c r="C15" s="2">
        <f>B3/B4</f>
        <v>272579.79763337976</v>
      </c>
    </row>
    <row r="16" spans="1:7">
      <c r="A16" t="s">
        <v>560</v>
      </c>
      <c r="C16">
        <f>C15/7</f>
        <v>38939.971090482824</v>
      </c>
    </row>
    <row r="17" spans="1:5">
      <c r="A17" t="s">
        <v>561</v>
      </c>
      <c r="C17">
        <f>C16/24</f>
        <v>1622.4987954367843</v>
      </c>
    </row>
    <row r="18" spans="1:5">
      <c r="A18" t="s">
        <v>562</v>
      </c>
      <c r="C18">
        <f>C17/60</f>
        <v>27.041646590613073</v>
      </c>
    </row>
    <row r="19" spans="1:5">
      <c r="A19" t="s">
        <v>563</v>
      </c>
      <c r="D19" s="7">
        <f>B15/C18</f>
        <v>174.85833152762731</v>
      </c>
    </row>
    <row r="24" spans="1:5">
      <c r="A24" s="4" t="s">
        <v>587</v>
      </c>
    </row>
    <row r="25" spans="1:5">
      <c r="A25" s="2" t="s">
        <v>564</v>
      </c>
      <c r="B25" s="2" t="s">
        <v>588</v>
      </c>
      <c r="C25" s="2"/>
      <c r="D25" s="2"/>
    </row>
    <row r="26" spans="1:5">
      <c r="A26" s="2"/>
      <c r="B26" s="2">
        <f>IF(B5=0,B7*12,B2)</f>
        <v>192136</v>
      </c>
      <c r="C26" s="2">
        <f>B3*52</f>
        <v>11076000</v>
      </c>
      <c r="D26" s="2"/>
    </row>
    <row r="27" spans="1:5">
      <c r="A27" s="2" t="s">
        <v>565</v>
      </c>
      <c r="B27" s="2">
        <f>IF(B14=0,B7*12,B26/B5)</f>
        <v>245879.77463890638</v>
      </c>
      <c r="C27" s="2">
        <f>C26/B4</f>
        <v>14174149.476935748</v>
      </c>
      <c r="D27" s="2"/>
    </row>
    <row r="28" spans="1:5">
      <c r="A28" s="2" t="s">
        <v>566</v>
      </c>
      <c r="B28" s="2"/>
      <c r="C28" s="2"/>
      <c r="D28" s="4">
        <f>C27/B27</f>
        <v>57.646666944247819</v>
      </c>
    </row>
    <row r="29" spans="1:5">
      <c r="A29" s="2" t="s">
        <v>567</v>
      </c>
      <c r="B29" s="2"/>
      <c r="C29" s="2"/>
      <c r="D29" s="4">
        <f>2015-D28</f>
        <v>1957.3533330557523</v>
      </c>
      <c r="E29" s="6">
        <f>FLOOR(2015-D28,1)</f>
        <v>1957</v>
      </c>
    </row>
    <row r="31" spans="1:5">
      <c r="A31" s="4" t="s">
        <v>592</v>
      </c>
    </row>
    <row r="32" spans="1:5">
      <c r="A32" s="2"/>
      <c r="B32" s="2" t="s">
        <v>568</v>
      </c>
      <c r="C32" s="2" t="s">
        <v>590</v>
      </c>
      <c r="D32" s="2" t="s">
        <v>569</v>
      </c>
      <c r="E32" s="2" t="s">
        <v>572</v>
      </c>
    </row>
    <row r="33" spans="1:5">
      <c r="A33" s="2"/>
      <c r="B33" s="2">
        <f>B2</f>
        <v>192136</v>
      </c>
      <c r="C33" s="2">
        <f>IF(B6=0,B7*12,B6*12)</f>
        <v>26114.399999999998</v>
      </c>
      <c r="D33" s="2"/>
      <c r="E33" s="2"/>
    </row>
    <row r="34" spans="1:5">
      <c r="A34" s="2" t="s">
        <v>565</v>
      </c>
      <c r="B34" s="2">
        <f>IF(B5=0,B7*12,B33/B5)</f>
        <v>245879.77463890638</v>
      </c>
      <c r="C34" s="2">
        <f>IF(B6=0,C33,IF(B5=0,B7*12,C33/B5))</f>
        <v>33419.051020268227</v>
      </c>
      <c r="D34" s="8"/>
      <c r="E34" s="2">
        <f>B7*12</f>
        <v>19200</v>
      </c>
    </row>
    <row r="35" spans="1:5">
      <c r="A35" s="2" t="s">
        <v>571</v>
      </c>
      <c r="B35" s="2"/>
      <c r="C35" s="2"/>
      <c r="D35" s="9">
        <f>B34/C34</f>
        <v>7.3574732714517665</v>
      </c>
      <c r="E35" s="2"/>
    </row>
    <row r="36" spans="1:5">
      <c r="A36" s="2" t="s">
        <v>573</v>
      </c>
      <c r="B36" s="2"/>
      <c r="C36" s="2"/>
      <c r="D36" s="2"/>
      <c r="E36" s="9">
        <f>B34/E34</f>
        <v>12.80623826244304</v>
      </c>
    </row>
    <row r="39" spans="1:5">
      <c r="A39" s="4" t="s">
        <v>595</v>
      </c>
    </row>
    <row r="40" spans="1:5">
      <c r="A40" s="2"/>
      <c r="B40" s="2" t="s">
        <v>593</v>
      </c>
      <c r="C40" s="2" t="s">
        <v>574</v>
      </c>
      <c r="D40" s="2"/>
    </row>
    <row r="41" spans="1:5">
      <c r="A41" s="2"/>
      <c r="B41" s="2"/>
      <c r="C41" s="2"/>
      <c r="D41" s="2"/>
    </row>
    <row r="42" spans="1:5">
      <c r="A42" s="2" t="s">
        <v>570</v>
      </c>
      <c r="B42" s="2">
        <f>C27</f>
        <v>14174149.476935748</v>
      </c>
      <c r="C42" s="2">
        <f>B8/B4</f>
        <v>85.677077237346367</v>
      </c>
      <c r="D42" s="2"/>
    </row>
    <row r="43" spans="1:5">
      <c r="A43" s="2" t="s">
        <v>575</v>
      </c>
      <c r="B43" s="2"/>
      <c r="C43" s="2"/>
      <c r="D43" s="7">
        <f>B42/C42</f>
        <v>165436.89320388349</v>
      </c>
    </row>
    <row r="46" spans="1:5">
      <c r="A46" s="4" t="s">
        <v>596</v>
      </c>
    </row>
    <row r="47" spans="1:5">
      <c r="A47" s="2"/>
      <c r="B47" s="2"/>
      <c r="C47" s="2" t="str">
        <f>C3</f>
        <v>Yaya Toure</v>
      </c>
      <c r="D47" s="2"/>
    </row>
    <row r="48" spans="1:5">
      <c r="A48" s="2"/>
      <c r="B48" s="2">
        <f>B9</f>
        <v>50000</v>
      </c>
      <c r="C48" s="2">
        <f>B3*52</f>
        <v>11076000</v>
      </c>
      <c r="D48" s="2"/>
    </row>
    <row r="49" spans="1:4">
      <c r="A49" s="2" t="s">
        <v>570</v>
      </c>
      <c r="B49" s="2">
        <f>B48/D9</f>
        <v>63985.867989056285</v>
      </c>
      <c r="C49" s="2">
        <f>C48/B4</f>
        <v>14174149.476935748</v>
      </c>
      <c r="D49" s="2"/>
    </row>
    <row r="50" spans="1:4">
      <c r="A50" s="2"/>
      <c r="B50" s="2"/>
      <c r="C50" s="2"/>
      <c r="D50" s="2">
        <f>C49/B49</f>
        <v>221.51999999999998</v>
      </c>
    </row>
    <row r="51" spans="1:4">
      <c r="A51" s="2" t="s">
        <v>576</v>
      </c>
      <c r="B51" s="2"/>
      <c r="C51" s="2"/>
      <c r="D51" s="4">
        <f>D50-1</f>
        <v>220.51999999999998</v>
      </c>
    </row>
  </sheetData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wages!$A$2:$A$27</xm:f>
          </x14:formula1>
          <xm:sqref>C3 I2</xm:sqref>
        </x14:dataValidation>
        <x14:dataValidation type="list" allowBlank="1" showInputMessage="1" showErrorMessage="1">
          <x14:formula1>
            <xm:f>master!$A$2:$A$217</xm:f>
          </x14:formula1>
          <xm:sqref>B1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17"/>
  <sheetViews>
    <sheetView topLeftCell="A160" workbookViewId="0">
      <selection activeCell="C217" sqref="C217"/>
    </sheetView>
  </sheetViews>
  <sheetFormatPr baseColWidth="10" defaultColWidth="8.83203125" defaultRowHeight="12" x14ac:dyDescent="0"/>
  <cols>
    <col min="6" max="6" width="39.33203125" bestFit="1" customWidth="1"/>
    <col min="7" max="7" width="33.83203125" bestFit="1" customWidth="1"/>
    <col min="8" max="8" width="10.1640625" customWidth="1"/>
    <col min="9" max="9" width="14.5" customWidth="1"/>
    <col min="10" max="10" width="34.16406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12</v>
      </c>
      <c r="B2" t="s">
        <v>13</v>
      </c>
      <c r="C2" t="s">
        <v>14</v>
      </c>
      <c r="D2">
        <v>19.745768723896301</v>
      </c>
      <c r="E2">
        <v>2013</v>
      </c>
      <c r="F2">
        <v>4250</v>
      </c>
      <c r="G2">
        <v>215.24</v>
      </c>
      <c r="H2">
        <v>2009</v>
      </c>
      <c r="I2">
        <v>51000</v>
      </c>
      <c r="J2">
        <v>2582.8318319999998</v>
      </c>
      <c r="K2">
        <v>980.76923079999995</v>
      </c>
      <c r="L2">
        <v>49.669842920000001</v>
      </c>
    </row>
    <row r="3" spans="1:12">
      <c r="A3" t="s">
        <v>15</v>
      </c>
      <c r="B3" t="s">
        <v>16</v>
      </c>
      <c r="C3" t="s">
        <v>17</v>
      </c>
      <c r="D3">
        <v>57.677811698223501</v>
      </c>
      <c r="E3">
        <v>2013</v>
      </c>
      <c r="F3">
        <v>37305</v>
      </c>
      <c r="G3">
        <v>646.78</v>
      </c>
      <c r="H3">
        <v>2012</v>
      </c>
      <c r="I3">
        <v>447660</v>
      </c>
      <c r="J3">
        <v>7761.3901569999998</v>
      </c>
      <c r="K3">
        <v>8608.8461540000008</v>
      </c>
      <c r="L3">
        <v>149.25750300000001</v>
      </c>
    </row>
    <row r="4" spans="1:12">
      <c r="A4" t="s">
        <v>18</v>
      </c>
      <c r="B4" t="s">
        <v>19</v>
      </c>
      <c r="D4">
        <v>34.494470213306101</v>
      </c>
      <c r="E4">
        <v>2013</v>
      </c>
      <c r="F4">
        <v>31755</v>
      </c>
      <c r="G4">
        <v>920.58</v>
      </c>
      <c r="H4">
        <v>2012</v>
      </c>
      <c r="I4">
        <v>381060</v>
      </c>
      <c r="J4">
        <v>11046.98804</v>
      </c>
      <c r="K4">
        <v>7328.0769229999996</v>
      </c>
      <c r="L4">
        <v>212.44207779999999</v>
      </c>
    </row>
    <row r="5" spans="1:12">
      <c r="A5" t="s">
        <v>398</v>
      </c>
      <c r="B5" t="s">
        <v>399</v>
      </c>
    </row>
    <row r="6" spans="1:12">
      <c r="A6" t="s">
        <v>400</v>
      </c>
      <c r="B6" t="s">
        <v>401</v>
      </c>
    </row>
    <row r="7" spans="1:12">
      <c r="A7" t="s">
        <v>402</v>
      </c>
      <c r="B7" t="s">
        <v>403</v>
      </c>
    </row>
    <row r="8" spans="1:12">
      <c r="A8" t="s">
        <v>20</v>
      </c>
      <c r="B8" t="s">
        <v>21</v>
      </c>
      <c r="D8">
        <v>85.5310333762082</v>
      </c>
      <c r="E8">
        <v>2013</v>
      </c>
    </row>
    <row r="9" spans="1:12">
      <c r="A9" t="s">
        <v>22</v>
      </c>
      <c r="B9" t="s">
        <v>23</v>
      </c>
      <c r="D9">
        <v>2.2192556249923001</v>
      </c>
      <c r="E9">
        <v>2013</v>
      </c>
    </row>
    <row r="10" spans="1:12">
      <c r="A10" t="s">
        <v>404</v>
      </c>
      <c r="B10" t="s">
        <v>405</v>
      </c>
      <c r="C10" t="s">
        <v>31</v>
      </c>
    </row>
    <row r="11" spans="1:12">
      <c r="A11" t="s">
        <v>24</v>
      </c>
      <c r="B11" t="s">
        <v>25</v>
      </c>
      <c r="D11">
        <v>192.53312127101799</v>
      </c>
      <c r="E11">
        <v>2013</v>
      </c>
      <c r="F11">
        <v>158239</v>
      </c>
      <c r="G11">
        <v>821.88</v>
      </c>
      <c r="H11">
        <v>2013</v>
      </c>
      <c r="I11">
        <v>1898868</v>
      </c>
      <c r="J11">
        <v>9862.5524139999998</v>
      </c>
      <c r="K11">
        <v>36516.692309999999</v>
      </c>
      <c r="L11">
        <v>189.6644695</v>
      </c>
    </row>
    <row r="12" spans="1:12">
      <c r="A12" t="s">
        <v>26</v>
      </c>
      <c r="B12" t="s">
        <v>27</v>
      </c>
      <c r="C12" t="s">
        <v>28</v>
      </c>
      <c r="D12">
        <v>1.5669167224744001</v>
      </c>
      <c r="E12">
        <v>2013</v>
      </c>
    </row>
    <row r="13" spans="1:12">
      <c r="A13" t="s">
        <v>29</v>
      </c>
      <c r="B13" t="s">
        <v>30</v>
      </c>
      <c r="C13" t="s">
        <v>31</v>
      </c>
      <c r="D13">
        <v>1.539989192</v>
      </c>
      <c r="E13">
        <v>2013</v>
      </c>
      <c r="F13">
        <v>4808.2666669999999</v>
      </c>
      <c r="G13">
        <v>3122.27</v>
      </c>
      <c r="H13">
        <v>2013</v>
      </c>
      <c r="I13">
        <v>57699.199999999997</v>
      </c>
      <c r="J13">
        <v>37467.27594</v>
      </c>
      <c r="K13">
        <v>1109.5999999999999</v>
      </c>
      <c r="L13">
        <v>720.52453730000002</v>
      </c>
    </row>
    <row r="14" spans="1:12">
      <c r="A14" t="s">
        <v>32</v>
      </c>
      <c r="B14" t="s">
        <v>33</v>
      </c>
      <c r="C14" t="s">
        <v>34</v>
      </c>
      <c r="D14">
        <v>0.86666641499999997</v>
      </c>
      <c r="E14">
        <v>2013</v>
      </c>
      <c r="F14">
        <v>3350</v>
      </c>
      <c r="G14">
        <v>3865.39</v>
      </c>
      <c r="H14">
        <v>2012</v>
      </c>
      <c r="I14">
        <v>40200</v>
      </c>
      <c r="J14">
        <v>46384.628850000001</v>
      </c>
      <c r="K14">
        <v>773.07692310000004</v>
      </c>
      <c r="L14">
        <v>892.01209329999995</v>
      </c>
    </row>
    <row r="15" spans="1:12">
      <c r="A15" t="s">
        <v>35</v>
      </c>
      <c r="B15" t="s">
        <v>36</v>
      </c>
      <c r="C15" t="s">
        <v>37</v>
      </c>
      <c r="D15">
        <v>0.3389160749092</v>
      </c>
      <c r="E15">
        <v>2013</v>
      </c>
      <c r="F15">
        <v>423</v>
      </c>
      <c r="G15">
        <v>1248.0999999999999</v>
      </c>
      <c r="H15">
        <v>2013</v>
      </c>
      <c r="I15">
        <v>5076</v>
      </c>
      <c r="J15">
        <v>14977.159170000001</v>
      </c>
      <c r="K15">
        <v>97.61538462</v>
      </c>
      <c r="L15">
        <v>288.0222918</v>
      </c>
    </row>
    <row r="16" spans="1:12">
      <c r="A16" t="s">
        <v>38</v>
      </c>
      <c r="B16" t="s">
        <v>39</v>
      </c>
      <c r="D16">
        <v>1.137407139984</v>
      </c>
      <c r="E16">
        <v>2013</v>
      </c>
    </row>
    <row r="17" spans="1:12">
      <c r="A17" t="s">
        <v>40</v>
      </c>
      <c r="B17" t="s">
        <v>41</v>
      </c>
      <c r="D17">
        <v>0.22051831592769999</v>
      </c>
      <c r="E17">
        <v>2013</v>
      </c>
      <c r="F17">
        <v>278</v>
      </c>
      <c r="G17">
        <v>1260.67</v>
      </c>
      <c r="H17">
        <v>2013</v>
      </c>
      <c r="I17">
        <v>3336</v>
      </c>
      <c r="J17">
        <v>15127.99509</v>
      </c>
      <c r="K17">
        <v>64.153846150000007</v>
      </c>
      <c r="L17">
        <v>290.92298240000002</v>
      </c>
    </row>
    <row r="18" spans="1:12">
      <c r="A18" t="s">
        <v>42</v>
      </c>
      <c r="B18" t="s">
        <v>43</v>
      </c>
      <c r="D18">
        <v>27.404960767094501</v>
      </c>
      <c r="E18">
        <v>2013</v>
      </c>
      <c r="F18">
        <v>2553</v>
      </c>
      <c r="G18">
        <v>93.16</v>
      </c>
      <c r="H18">
        <v>2010</v>
      </c>
      <c r="I18">
        <v>30636</v>
      </c>
      <c r="J18">
        <v>1117.8997939999999</v>
      </c>
      <c r="K18">
        <v>589.15384619999998</v>
      </c>
      <c r="L18">
        <v>21.498072959999998</v>
      </c>
    </row>
    <row r="19" spans="1:12">
      <c r="A19" t="s">
        <v>44</v>
      </c>
      <c r="B19" t="s">
        <v>45</v>
      </c>
      <c r="C19" t="s">
        <v>31</v>
      </c>
      <c r="D19">
        <v>2.4793895717912999</v>
      </c>
      <c r="E19">
        <v>2013</v>
      </c>
    </row>
    <row r="20" spans="1:12">
      <c r="A20" t="s">
        <v>46</v>
      </c>
      <c r="B20" t="s">
        <v>47</v>
      </c>
      <c r="C20" t="s">
        <v>48</v>
      </c>
      <c r="D20">
        <v>3333.0692546882601</v>
      </c>
      <c r="E20">
        <v>2013</v>
      </c>
      <c r="F20">
        <v>5061418</v>
      </c>
      <c r="G20">
        <v>1518.55</v>
      </c>
      <c r="H20">
        <v>2013</v>
      </c>
      <c r="I20">
        <v>60737016</v>
      </c>
      <c r="J20">
        <v>18222.548460000002</v>
      </c>
      <c r="K20">
        <v>1168019.5379999999</v>
      </c>
      <c r="L20">
        <v>350.43362409999997</v>
      </c>
    </row>
    <row r="21" spans="1:12">
      <c r="A21" t="s">
        <v>49</v>
      </c>
      <c r="B21" t="s">
        <v>50</v>
      </c>
      <c r="C21" t="s">
        <v>34</v>
      </c>
      <c r="D21">
        <v>0.88617073300000004</v>
      </c>
      <c r="E21">
        <v>2013</v>
      </c>
      <c r="F21">
        <v>2955</v>
      </c>
      <c r="G21">
        <v>3334.57</v>
      </c>
      <c r="H21">
        <v>2012</v>
      </c>
      <c r="I21">
        <v>35460</v>
      </c>
      <c r="J21">
        <v>40014.862459999997</v>
      </c>
      <c r="K21">
        <v>681.92307689999996</v>
      </c>
      <c r="L21">
        <v>769.51658580000003</v>
      </c>
    </row>
    <row r="22" spans="1:12">
      <c r="A22" t="s">
        <v>51</v>
      </c>
      <c r="B22" t="s">
        <v>52</v>
      </c>
      <c r="C22" t="s">
        <v>53</v>
      </c>
      <c r="D22">
        <v>1.1627072359726001</v>
      </c>
      <c r="E22">
        <v>2013</v>
      </c>
    </row>
    <row r="23" spans="1:12">
      <c r="A23" t="s">
        <v>54</v>
      </c>
      <c r="B23" t="s">
        <v>55</v>
      </c>
      <c r="D23">
        <v>234.09191609118199</v>
      </c>
      <c r="E23">
        <v>2013</v>
      </c>
    </row>
    <row r="24" spans="1:12">
      <c r="A24" t="s">
        <v>406</v>
      </c>
      <c r="B24" t="s">
        <v>407</v>
      </c>
      <c r="C24" t="s">
        <v>31</v>
      </c>
    </row>
    <row r="25" spans="1:12">
      <c r="A25" t="s">
        <v>56</v>
      </c>
      <c r="B25" t="s">
        <v>57</v>
      </c>
      <c r="D25">
        <v>19.440560703981799</v>
      </c>
      <c r="E25">
        <v>2013</v>
      </c>
    </row>
    <row r="26" spans="1:12">
      <c r="A26" t="s">
        <v>58</v>
      </c>
      <c r="B26" t="s">
        <v>59</v>
      </c>
      <c r="C26" t="s">
        <v>60</v>
      </c>
      <c r="D26">
        <v>3.1025206327169998</v>
      </c>
      <c r="E26">
        <v>2013</v>
      </c>
    </row>
    <row r="27" spans="1:12">
      <c r="A27" t="s">
        <v>61</v>
      </c>
      <c r="B27" t="s">
        <v>62</v>
      </c>
      <c r="D27">
        <v>0.84508460264359997</v>
      </c>
      <c r="E27">
        <v>2013</v>
      </c>
      <c r="F27">
        <v>1291</v>
      </c>
      <c r="G27">
        <v>1527.66</v>
      </c>
      <c r="H27">
        <v>2013</v>
      </c>
      <c r="I27">
        <v>15492</v>
      </c>
      <c r="J27">
        <v>18331.892390000001</v>
      </c>
      <c r="K27">
        <v>297.92307690000001</v>
      </c>
      <c r="L27">
        <v>352.53639220000002</v>
      </c>
    </row>
    <row r="28" spans="1:12">
      <c r="A28" t="s">
        <v>63</v>
      </c>
      <c r="B28" t="s">
        <v>64</v>
      </c>
      <c r="C28" t="s">
        <v>65</v>
      </c>
      <c r="D28">
        <v>4.8795826882298003</v>
      </c>
      <c r="E28">
        <v>2013</v>
      </c>
      <c r="F28">
        <v>4810</v>
      </c>
      <c r="G28">
        <v>985.74</v>
      </c>
      <c r="H28">
        <v>2012</v>
      </c>
      <c r="I28">
        <v>57720</v>
      </c>
      <c r="J28">
        <v>11828.8804</v>
      </c>
      <c r="K28">
        <v>1110</v>
      </c>
      <c r="L28">
        <v>227.47846910000001</v>
      </c>
    </row>
    <row r="29" spans="1:12">
      <c r="A29" t="s">
        <v>66</v>
      </c>
      <c r="B29" t="s">
        <v>67</v>
      </c>
      <c r="C29" t="s">
        <v>68</v>
      </c>
      <c r="D29">
        <v>1.7929147232747</v>
      </c>
      <c r="E29">
        <v>2013</v>
      </c>
      <c r="F29">
        <v>1884.075</v>
      </c>
      <c r="G29">
        <v>1050.8399999999999</v>
      </c>
      <c r="H29">
        <v>2013</v>
      </c>
      <c r="I29">
        <v>22608.9</v>
      </c>
      <c r="J29">
        <v>12610.136839999999</v>
      </c>
      <c r="K29">
        <v>434.78653850000001</v>
      </c>
      <c r="L29">
        <v>242.50263150000001</v>
      </c>
    </row>
    <row r="30" spans="1:12">
      <c r="A30" t="s">
        <v>69</v>
      </c>
      <c r="B30" t="s">
        <v>70</v>
      </c>
      <c r="D30">
        <v>0.83038159102020004</v>
      </c>
      <c r="E30">
        <v>2013</v>
      </c>
    </row>
    <row r="31" spans="1:12">
      <c r="A31" t="s">
        <v>71</v>
      </c>
      <c r="B31" t="s">
        <v>72</v>
      </c>
      <c r="C31" t="s">
        <v>73</v>
      </c>
      <c r="D31">
        <v>0.76728102367569995</v>
      </c>
      <c r="E31">
        <v>2013</v>
      </c>
      <c r="F31">
        <v>807.5</v>
      </c>
      <c r="G31">
        <v>1052.42</v>
      </c>
      <c r="H31">
        <v>2013</v>
      </c>
      <c r="I31">
        <v>9690</v>
      </c>
      <c r="J31">
        <v>12629.01036</v>
      </c>
      <c r="K31">
        <v>186.3461538</v>
      </c>
      <c r="L31">
        <v>242.86558389999999</v>
      </c>
    </row>
    <row r="32" spans="1:12">
      <c r="A32" t="s">
        <v>74</v>
      </c>
      <c r="B32" t="s">
        <v>75</v>
      </c>
      <c r="D32">
        <v>223.98410034501501</v>
      </c>
      <c r="E32">
        <v>2013</v>
      </c>
    </row>
    <row r="33" spans="1:12">
      <c r="A33" t="s">
        <v>76</v>
      </c>
      <c r="B33" t="s">
        <v>77</v>
      </c>
      <c r="D33">
        <v>599.45707015514404</v>
      </c>
      <c r="E33">
        <v>2013</v>
      </c>
      <c r="F33">
        <v>81707</v>
      </c>
      <c r="G33">
        <v>136.30000000000001</v>
      </c>
      <c r="H33">
        <v>2008</v>
      </c>
      <c r="I33">
        <v>980484</v>
      </c>
      <c r="J33">
        <v>1635.6200449999999</v>
      </c>
      <c r="K33">
        <v>18855.46154</v>
      </c>
      <c r="L33">
        <v>31.454231629999999</v>
      </c>
    </row>
    <row r="34" spans="1:12">
      <c r="A34" t="s">
        <v>78</v>
      </c>
      <c r="B34" t="s">
        <v>79</v>
      </c>
      <c r="D34">
        <v>47.808293944726003</v>
      </c>
      <c r="E34">
        <v>2013</v>
      </c>
    </row>
    <row r="35" spans="1:12">
      <c r="A35" t="s">
        <v>80</v>
      </c>
      <c r="B35" t="s">
        <v>81</v>
      </c>
      <c r="C35" t="s">
        <v>14</v>
      </c>
      <c r="D35">
        <v>1562.9153451258301</v>
      </c>
      <c r="E35">
        <v>2013</v>
      </c>
      <c r="F35">
        <v>487583</v>
      </c>
      <c r="G35">
        <v>311.97000000000003</v>
      </c>
      <c r="H35">
        <v>2012</v>
      </c>
      <c r="I35">
        <v>5850996</v>
      </c>
      <c r="J35">
        <v>3743.6423020000002</v>
      </c>
      <c r="K35">
        <v>112519.1538</v>
      </c>
      <c r="L35">
        <v>71.993121189999997</v>
      </c>
    </row>
    <row r="36" spans="1:12">
      <c r="A36" t="s">
        <v>82</v>
      </c>
      <c r="B36" t="s">
        <v>83</v>
      </c>
      <c r="D36">
        <v>233.44593750335</v>
      </c>
      <c r="E36">
        <v>2013</v>
      </c>
    </row>
    <row r="37" spans="1:12">
      <c r="A37" t="s">
        <v>84</v>
      </c>
      <c r="B37" t="s">
        <v>85</v>
      </c>
      <c r="C37" t="s">
        <v>31</v>
      </c>
      <c r="D37">
        <v>1.2928144340000001</v>
      </c>
      <c r="E37">
        <v>2013</v>
      </c>
      <c r="F37">
        <v>3946.54</v>
      </c>
      <c r="G37">
        <v>3052.67</v>
      </c>
      <c r="H37">
        <v>2013</v>
      </c>
      <c r="I37">
        <v>47358.48</v>
      </c>
      <c r="J37">
        <v>36632.078630000004</v>
      </c>
      <c r="K37">
        <v>910.74</v>
      </c>
      <c r="L37">
        <v>704.46305059999997</v>
      </c>
    </row>
    <row r="38" spans="1:12">
      <c r="A38" t="s">
        <v>408</v>
      </c>
      <c r="B38" t="s">
        <v>409</v>
      </c>
      <c r="C38" t="s">
        <v>31</v>
      </c>
    </row>
    <row r="39" spans="1:12">
      <c r="A39" t="s">
        <v>86</v>
      </c>
      <c r="B39" t="s">
        <v>87</v>
      </c>
      <c r="D39">
        <v>277.688224234708</v>
      </c>
      <c r="E39">
        <v>2013</v>
      </c>
    </row>
    <row r="40" spans="1:12">
      <c r="A40" t="s">
        <v>88</v>
      </c>
      <c r="B40" t="s">
        <v>89</v>
      </c>
      <c r="D40">
        <v>277.064216660358</v>
      </c>
      <c r="E40">
        <v>2013</v>
      </c>
      <c r="F40">
        <v>96197</v>
      </c>
      <c r="G40">
        <v>347.2</v>
      </c>
      <c r="H40">
        <v>2011</v>
      </c>
      <c r="I40">
        <v>1154364</v>
      </c>
      <c r="J40">
        <v>4166.4131660000003</v>
      </c>
      <c r="K40">
        <v>22199.307690000001</v>
      </c>
      <c r="L40">
        <v>80.123330109999998</v>
      </c>
    </row>
    <row r="41" spans="1:12">
      <c r="A41" t="s">
        <v>410</v>
      </c>
      <c r="B41" t="s">
        <v>411</v>
      </c>
    </row>
    <row r="42" spans="1:12">
      <c r="A42" t="s">
        <v>90</v>
      </c>
      <c r="B42" t="s">
        <v>91</v>
      </c>
      <c r="C42" t="s">
        <v>31</v>
      </c>
      <c r="D42">
        <v>395.46917322399997</v>
      </c>
      <c r="E42">
        <v>2013</v>
      </c>
      <c r="F42">
        <v>373220.5833</v>
      </c>
      <c r="G42">
        <v>943.74</v>
      </c>
      <c r="H42">
        <v>2009</v>
      </c>
      <c r="I42">
        <v>4478647</v>
      </c>
      <c r="J42">
        <v>11324.895350000001</v>
      </c>
      <c r="K42">
        <v>86127.826920000007</v>
      </c>
      <c r="L42">
        <v>217.786449</v>
      </c>
    </row>
    <row r="43" spans="1:12">
      <c r="A43" t="s">
        <v>92</v>
      </c>
      <c r="B43" t="s">
        <v>93</v>
      </c>
      <c r="C43" t="s">
        <v>94</v>
      </c>
      <c r="D43">
        <v>3.7599446053355998</v>
      </c>
      <c r="E43">
        <v>2013</v>
      </c>
      <c r="F43">
        <v>2725.5</v>
      </c>
      <c r="G43">
        <v>724.88</v>
      </c>
      <c r="H43">
        <v>2013</v>
      </c>
      <c r="I43">
        <v>32706</v>
      </c>
      <c r="J43">
        <v>8698.5324079999991</v>
      </c>
      <c r="K43">
        <v>628.96153849999996</v>
      </c>
      <c r="L43">
        <v>167.27946940000001</v>
      </c>
    </row>
    <row r="44" spans="1:12">
      <c r="A44" t="s">
        <v>95</v>
      </c>
      <c r="B44" t="s">
        <v>96</v>
      </c>
      <c r="C44" t="s">
        <v>31</v>
      </c>
      <c r="D44">
        <v>1216.59661115226</v>
      </c>
      <c r="E44">
        <v>2013</v>
      </c>
      <c r="F44">
        <v>1072370.17</v>
      </c>
      <c r="G44">
        <v>881.45</v>
      </c>
      <c r="H44">
        <v>2012</v>
      </c>
      <c r="I44">
        <v>12868442.039999999</v>
      </c>
      <c r="J44">
        <v>10577.41072</v>
      </c>
      <c r="K44">
        <v>247470.0392</v>
      </c>
      <c r="L44">
        <v>203.41174470000001</v>
      </c>
    </row>
    <row r="45" spans="1:12">
      <c r="A45" t="s">
        <v>97</v>
      </c>
      <c r="B45" t="s">
        <v>98</v>
      </c>
      <c r="D45">
        <v>221.72762250497101</v>
      </c>
      <c r="E45">
        <v>2013</v>
      </c>
    </row>
    <row r="46" spans="1:12">
      <c r="A46" t="s">
        <v>99</v>
      </c>
      <c r="B46" t="s">
        <v>100</v>
      </c>
      <c r="D46">
        <v>579.00562648709001</v>
      </c>
      <c r="E46">
        <v>2013</v>
      </c>
    </row>
    <row r="47" spans="1:12">
      <c r="A47" t="s">
        <v>101</v>
      </c>
      <c r="B47" t="s">
        <v>102</v>
      </c>
      <c r="D47">
        <v>315.18619329537898</v>
      </c>
      <c r="E47">
        <v>2013</v>
      </c>
    </row>
    <row r="48" spans="1:12">
      <c r="A48" t="s">
        <v>103</v>
      </c>
      <c r="B48" t="s">
        <v>104</v>
      </c>
      <c r="C48" t="s">
        <v>14</v>
      </c>
      <c r="D48">
        <v>365.02794359927498</v>
      </c>
      <c r="E48">
        <v>2013</v>
      </c>
      <c r="F48">
        <v>531926</v>
      </c>
      <c r="G48">
        <v>1457.22</v>
      </c>
      <c r="H48">
        <v>2013</v>
      </c>
      <c r="I48">
        <v>6383112</v>
      </c>
      <c r="J48">
        <v>17486.639340000002</v>
      </c>
      <c r="K48">
        <v>122752.1538</v>
      </c>
      <c r="L48">
        <v>336.2815258</v>
      </c>
    </row>
    <row r="49" spans="1:12">
      <c r="A49" t="s">
        <v>105</v>
      </c>
      <c r="B49" t="s">
        <v>106</v>
      </c>
      <c r="D49">
        <v>236.48530025998301</v>
      </c>
      <c r="E49">
        <v>2013</v>
      </c>
    </row>
    <row r="50" spans="1:12">
      <c r="A50" t="s">
        <v>107</v>
      </c>
      <c r="B50" t="s">
        <v>108</v>
      </c>
      <c r="C50" t="s">
        <v>109</v>
      </c>
      <c r="D50">
        <v>4.2063671202624002</v>
      </c>
      <c r="E50">
        <v>2013</v>
      </c>
      <c r="F50">
        <v>7939</v>
      </c>
      <c r="G50">
        <v>1887.38</v>
      </c>
      <c r="H50">
        <v>2013</v>
      </c>
      <c r="I50">
        <v>95268</v>
      </c>
      <c r="J50">
        <v>22648.522410000001</v>
      </c>
      <c r="K50">
        <v>1832.0769230000001</v>
      </c>
      <c r="L50">
        <v>435.5485079</v>
      </c>
    </row>
    <row r="51" spans="1:12">
      <c r="A51" t="s">
        <v>412</v>
      </c>
      <c r="B51" t="s">
        <v>413</v>
      </c>
      <c r="C51" t="s">
        <v>14</v>
      </c>
      <c r="F51">
        <v>466</v>
      </c>
      <c r="H51">
        <v>2012</v>
      </c>
      <c r="I51">
        <v>5592</v>
      </c>
      <c r="K51">
        <v>107.5384615</v>
      </c>
    </row>
    <row r="52" spans="1:12">
      <c r="A52" t="s">
        <v>414</v>
      </c>
      <c r="B52" t="s">
        <v>415</v>
      </c>
    </row>
    <row r="53" spans="1:12">
      <c r="A53" t="s">
        <v>110</v>
      </c>
      <c r="B53" t="s">
        <v>111</v>
      </c>
      <c r="C53" t="s">
        <v>34</v>
      </c>
      <c r="D53">
        <v>0.69851092851810004</v>
      </c>
      <c r="E53">
        <v>2013</v>
      </c>
      <c r="F53">
        <v>1997</v>
      </c>
      <c r="G53">
        <v>2858.94</v>
      </c>
      <c r="H53">
        <v>2012</v>
      </c>
      <c r="I53">
        <v>23964</v>
      </c>
      <c r="J53">
        <v>34307.265670000001</v>
      </c>
      <c r="K53">
        <v>460.84615380000002</v>
      </c>
      <c r="L53">
        <v>659.75510910000003</v>
      </c>
    </row>
    <row r="54" spans="1:12">
      <c r="A54" t="s">
        <v>112</v>
      </c>
      <c r="B54" t="s">
        <v>113</v>
      </c>
      <c r="C54" t="s">
        <v>114</v>
      </c>
      <c r="D54">
        <v>14.858432264999999</v>
      </c>
      <c r="E54">
        <v>2013</v>
      </c>
      <c r="F54">
        <v>26444</v>
      </c>
      <c r="G54">
        <v>1779.73</v>
      </c>
      <c r="H54">
        <v>2013</v>
      </c>
      <c r="I54">
        <v>317328</v>
      </c>
      <c r="J54">
        <v>21356.761890000002</v>
      </c>
      <c r="K54">
        <v>6102.4615379999996</v>
      </c>
      <c r="L54">
        <v>410.70695949999998</v>
      </c>
    </row>
    <row r="55" spans="1:12">
      <c r="A55" t="s">
        <v>115</v>
      </c>
      <c r="B55" t="s">
        <v>116</v>
      </c>
      <c r="C55" t="s">
        <v>117</v>
      </c>
      <c r="D55">
        <v>8.4422227220000003</v>
      </c>
      <c r="E55">
        <v>2013</v>
      </c>
      <c r="F55">
        <v>38106.22</v>
      </c>
      <c r="G55">
        <v>4513.7700000000004</v>
      </c>
      <c r="H55">
        <v>2012</v>
      </c>
      <c r="I55">
        <v>457274.64</v>
      </c>
      <c r="J55">
        <v>54165.195</v>
      </c>
      <c r="K55">
        <v>8793.7430769999992</v>
      </c>
      <c r="L55">
        <v>1041.638365</v>
      </c>
    </row>
    <row r="56" spans="1:12">
      <c r="A56" t="s">
        <v>118</v>
      </c>
      <c r="B56" t="s">
        <v>119</v>
      </c>
      <c r="D56">
        <v>105.17338162423501</v>
      </c>
      <c r="E56">
        <v>2013</v>
      </c>
    </row>
    <row r="57" spans="1:12">
      <c r="A57" t="s">
        <v>120</v>
      </c>
      <c r="B57" t="s">
        <v>121</v>
      </c>
      <c r="D57">
        <v>2.0235032443749001</v>
      </c>
      <c r="E57">
        <v>2013</v>
      </c>
    </row>
    <row r="58" spans="1:12">
      <c r="A58" t="s">
        <v>122</v>
      </c>
      <c r="B58" t="s">
        <v>123</v>
      </c>
      <c r="C58" t="s">
        <v>124</v>
      </c>
      <c r="D58">
        <v>21.770320931041802</v>
      </c>
      <c r="E58">
        <v>2013</v>
      </c>
      <c r="F58">
        <v>15663.3</v>
      </c>
      <c r="G58">
        <v>719.48</v>
      </c>
      <c r="H58">
        <v>2013</v>
      </c>
      <c r="I58">
        <v>187959.6</v>
      </c>
      <c r="J58">
        <v>8633.7542099999991</v>
      </c>
      <c r="K58">
        <v>3614.607692</v>
      </c>
      <c r="L58">
        <v>166.03373479999999</v>
      </c>
    </row>
    <row r="59" spans="1:12">
      <c r="A59" t="s">
        <v>125</v>
      </c>
      <c r="B59" t="s">
        <v>126</v>
      </c>
      <c r="D59">
        <v>0.57056061067429997</v>
      </c>
      <c r="E59">
        <v>2013</v>
      </c>
      <c r="F59">
        <v>512.61</v>
      </c>
      <c r="G59">
        <v>898.43</v>
      </c>
      <c r="H59">
        <v>2012</v>
      </c>
      <c r="I59">
        <v>6151.32</v>
      </c>
      <c r="J59">
        <v>10781.185880000001</v>
      </c>
      <c r="K59">
        <v>118.2946154</v>
      </c>
      <c r="L59">
        <v>207.3304977</v>
      </c>
    </row>
    <row r="60" spans="1:12">
      <c r="A60" t="s">
        <v>127</v>
      </c>
      <c r="B60" t="s">
        <v>128</v>
      </c>
      <c r="D60">
        <v>2.0415724436424001</v>
      </c>
      <c r="E60">
        <v>2013</v>
      </c>
    </row>
    <row r="61" spans="1:12">
      <c r="A61" t="s">
        <v>129</v>
      </c>
      <c r="B61" t="s">
        <v>130</v>
      </c>
      <c r="C61" t="s">
        <v>31</v>
      </c>
      <c r="D61">
        <v>0.52532059642189999</v>
      </c>
      <c r="E61">
        <v>2013</v>
      </c>
      <c r="F61">
        <v>278.7</v>
      </c>
      <c r="G61">
        <v>530.53</v>
      </c>
      <c r="H61">
        <v>2012</v>
      </c>
      <c r="I61">
        <v>3344.4</v>
      </c>
      <c r="J61">
        <v>6366.3980110000002</v>
      </c>
      <c r="K61">
        <v>64.315384620000003</v>
      </c>
      <c r="L61">
        <v>122.43073099999999</v>
      </c>
    </row>
    <row r="62" spans="1:12">
      <c r="A62" t="s">
        <v>131</v>
      </c>
      <c r="B62" t="s">
        <v>132</v>
      </c>
      <c r="D62">
        <v>350.29248955733698</v>
      </c>
      <c r="E62">
        <v>2013</v>
      </c>
    </row>
    <row r="63" spans="1:12">
      <c r="A63" t="s">
        <v>416</v>
      </c>
      <c r="B63" t="s">
        <v>417</v>
      </c>
    </row>
    <row r="64" spans="1:12">
      <c r="A64" t="s">
        <v>133</v>
      </c>
      <c r="B64" t="s">
        <v>134</v>
      </c>
      <c r="C64" t="s">
        <v>117</v>
      </c>
      <c r="D64">
        <v>0.64730668099999999</v>
      </c>
      <c r="E64">
        <v>2013</v>
      </c>
      <c r="F64">
        <v>949</v>
      </c>
      <c r="G64">
        <v>1466.07</v>
      </c>
      <c r="H64">
        <v>2013</v>
      </c>
      <c r="I64">
        <v>11388</v>
      </c>
      <c r="J64">
        <v>17592.897359999999</v>
      </c>
      <c r="K64">
        <v>219</v>
      </c>
      <c r="L64">
        <v>338.32494930000001</v>
      </c>
    </row>
    <row r="65" spans="1:12">
      <c r="A65" t="s">
        <v>135</v>
      </c>
      <c r="B65" t="s">
        <v>136</v>
      </c>
      <c r="D65">
        <v>6.9680370578464004</v>
      </c>
      <c r="E65">
        <v>2013</v>
      </c>
      <c r="F65">
        <v>860.8</v>
      </c>
      <c r="G65">
        <v>123.54</v>
      </c>
      <c r="H65">
        <v>2010</v>
      </c>
      <c r="I65">
        <v>10329.6</v>
      </c>
      <c r="J65">
        <v>1482.4260999999999</v>
      </c>
      <c r="K65">
        <v>198.64615380000001</v>
      </c>
      <c r="L65">
        <v>28.508194230000001</v>
      </c>
    </row>
    <row r="66" spans="1:12">
      <c r="A66" t="s">
        <v>418</v>
      </c>
      <c r="B66" t="s">
        <v>419</v>
      </c>
    </row>
    <row r="67" spans="1:12">
      <c r="A67" t="s">
        <v>137</v>
      </c>
      <c r="B67" t="s">
        <v>138</v>
      </c>
      <c r="C67" t="s">
        <v>31</v>
      </c>
      <c r="D67">
        <v>1.2501239771401</v>
      </c>
      <c r="E67">
        <v>2013</v>
      </c>
      <c r="F67">
        <v>540.79999999999995</v>
      </c>
      <c r="G67">
        <v>432.6</v>
      </c>
      <c r="H67">
        <v>2009</v>
      </c>
      <c r="I67">
        <v>6489.6</v>
      </c>
      <c r="J67">
        <v>5191.1651309999997</v>
      </c>
      <c r="K67">
        <v>124.8</v>
      </c>
      <c r="L67">
        <v>99.830098680000006</v>
      </c>
    </row>
    <row r="68" spans="1:12">
      <c r="A68" t="s">
        <v>139</v>
      </c>
      <c r="B68" t="s">
        <v>140</v>
      </c>
      <c r="C68" t="s">
        <v>34</v>
      </c>
      <c r="D68">
        <v>1.000799051</v>
      </c>
      <c r="E68">
        <v>2013</v>
      </c>
      <c r="F68">
        <v>3206</v>
      </c>
      <c r="G68">
        <v>3203.44</v>
      </c>
      <c r="H68">
        <v>2012</v>
      </c>
      <c r="I68">
        <v>38472</v>
      </c>
      <c r="J68">
        <v>38441.283450000003</v>
      </c>
      <c r="K68">
        <v>739.84615380000002</v>
      </c>
      <c r="L68">
        <v>739.25545099999999</v>
      </c>
    </row>
    <row r="69" spans="1:12">
      <c r="A69" t="s">
        <v>141</v>
      </c>
      <c r="B69" t="s">
        <v>142</v>
      </c>
      <c r="C69" t="s">
        <v>34</v>
      </c>
      <c r="D69">
        <v>0.884011989</v>
      </c>
      <c r="E69">
        <v>2013</v>
      </c>
      <c r="F69">
        <v>2798</v>
      </c>
      <c r="G69">
        <v>3165.12</v>
      </c>
      <c r="H69">
        <v>2009</v>
      </c>
      <c r="I69">
        <v>33576</v>
      </c>
      <c r="J69">
        <v>37981.385340000001</v>
      </c>
      <c r="K69">
        <v>645.69230770000001</v>
      </c>
      <c r="L69">
        <v>730.4112566</v>
      </c>
    </row>
    <row r="70" spans="1:12">
      <c r="A70" t="s">
        <v>420</v>
      </c>
      <c r="B70" t="s">
        <v>421</v>
      </c>
    </row>
    <row r="71" spans="1:12">
      <c r="A71" t="s">
        <v>143</v>
      </c>
      <c r="B71" t="s">
        <v>144</v>
      </c>
      <c r="D71">
        <v>357.79720686163199</v>
      </c>
      <c r="E71">
        <v>2013</v>
      </c>
    </row>
    <row r="72" spans="1:12">
      <c r="A72" t="s">
        <v>145</v>
      </c>
      <c r="B72" t="s">
        <v>146</v>
      </c>
      <c r="D72">
        <v>11.519749926854701</v>
      </c>
      <c r="E72">
        <v>2013</v>
      </c>
    </row>
    <row r="73" spans="1:12">
      <c r="A73" t="s">
        <v>147</v>
      </c>
      <c r="B73" t="s">
        <v>148</v>
      </c>
      <c r="D73">
        <v>0.80113570857710004</v>
      </c>
      <c r="E73">
        <v>2013</v>
      </c>
      <c r="F73">
        <v>800.375</v>
      </c>
      <c r="G73">
        <v>999.05</v>
      </c>
      <c r="H73">
        <v>2013</v>
      </c>
      <c r="I73">
        <v>9604.5</v>
      </c>
      <c r="J73">
        <v>11988.60555</v>
      </c>
      <c r="K73">
        <v>184.70192309999999</v>
      </c>
      <c r="L73">
        <v>230.55010669999999</v>
      </c>
    </row>
    <row r="74" spans="1:12">
      <c r="A74" t="s">
        <v>149</v>
      </c>
      <c r="B74" t="s">
        <v>150</v>
      </c>
      <c r="C74" t="s">
        <v>34</v>
      </c>
      <c r="D74">
        <v>0.82283660800000002</v>
      </c>
      <c r="E74">
        <v>2013</v>
      </c>
      <c r="F74">
        <v>2594</v>
      </c>
      <c r="G74">
        <v>3152.51</v>
      </c>
      <c r="H74">
        <v>2013</v>
      </c>
      <c r="I74">
        <v>31128</v>
      </c>
      <c r="J74">
        <v>37830.110739999996</v>
      </c>
      <c r="K74">
        <v>598.61538459999997</v>
      </c>
      <c r="L74">
        <v>727.50212959999999</v>
      </c>
    </row>
    <row r="75" spans="1:12">
      <c r="A75" t="s">
        <v>151</v>
      </c>
      <c r="B75" t="s">
        <v>152</v>
      </c>
      <c r="C75" t="s">
        <v>153</v>
      </c>
      <c r="D75">
        <v>0.92702318678160001</v>
      </c>
      <c r="E75">
        <v>2013</v>
      </c>
    </row>
    <row r="76" spans="1:12">
      <c r="A76" t="s">
        <v>154</v>
      </c>
      <c r="B76" t="s">
        <v>155</v>
      </c>
      <c r="C76" t="s">
        <v>34</v>
      </c>
      <c r="D76">
        <v>0.72521706600000002</v>
      </c>
      <c r="E76">
        <v>2013</v>
      </c>
      <c r="F76">
        <v>1541.441509</v>
      </c>
      <c r="G76">
        <v>2125.4899999999998</v>
      </c>
      <c r="H76">
        <v>2012</v>
      </c>
      <c r="I76">
        <v>18497.29811</v>
      </c>
      <c r="J76">
        <v>25505.878140000001</v>
      </c>
      <c r="K76">
        <v>355.71727129999999</v>
      </c>
      <c r="L76">
        <v>490.49765650000001</v>
      </c>
    </row>
    <row r="77" spans="1:12">
      <c r="A77" t="s">
        <v>422</v>
      </c>
      <c r="B77" t="s">
        <v>423</v>
      </c>
    </row>
    <row r="78" spans="1:12">
      <c r="A78" t="s">
        <v>156</v>
      </c>
      <c r="B78" t="s">
        <v>157</v>
      </c>
      <c r="D78">
        <v>2.0675438041444001</v>
      </c>
      <c r="E78">
        <v>2013</v>
      </c>
    </row>
    <row r="79" spans="1:12">
      <c r="A79" t="s">
        <v>424</v>
      </c>
      <c r="B79" t="s">
        <v>425</v>
      </c>
    </row>
    <row r="80" spans="1:12">
      <c r="A80" t="s">
        <v>158</v>
      </c>
      <c r="B80" t="s">
        <v>159</v>
      </c>
      <c r="C80" t="s">
        <v>160</v>
      </c>
      <c r="D80">
        <v>4.0499762060764999</v>
      </c>
      <c r="E80">
        <v>2013</v>
      </c>
      <c r="F80">
        <v>2025.5</v>
      </c>
      <c r="G80">
        <v>500.13</v>
      </c>
      <c r="H80">
        <v>2013</v>
      </c>
      <c r="I80">
        <v>24306</v>
      </c>
      <c r="J80">
        <v>6001.5167410000004</v>
      </c>
      <c r="K80">
        <v>467.42307690000001</v>
      </c>
      <c r="L80">
        <v>115.41378349999999</v>
      </c>
    </row>
    <row r="81" spans="1:12">
      <c r="A81" t="s">
        <v>161</v>
      </c>
      <c r="B81" t="s">
        <v>162</v>
      </c>
      <c r="D81">
        <v>3202.1986060486602</v>
      </c>
      <c r="E81">
        <v>2013</v>
      </c>
    </row>
    <row r="82" spans="1:12">
      <c r="A82" t="s">
        <v>163</v>
      </c>
      <c r="B82" t="s">
        <v>164</v>
      </c>
      <c r="D82">
        <v>246.520151863677</v>
      </c>
      <c r="E82">
        <v>2013</v>
      </c>
    </row>
    <row r="83" spans="1:12">
      <c r="A83" t="s">
        <v>165</v>
      </c>
      <c r="B83" t="s">
        <v>166</v>
      </c>
      <c r="C83" t="s">
        <v>31</v>
      </c>
      <c r="D83">
        <v>134.56601905593001</v>
      </c>
      <c r="E83">
        <v>2013</v>
      </c>
    </row>
    <row r="84" spans="1:12">
      <c r="A84" t="s">
        <v>167</v>
      </c>
      <c r="B84" t="s">
        <v>168</v>
      </c>
      <c r="D84">
        <v>22.492373373282899</v>
      </c>
      <c r="E84">
        <v>2013</v>
      </c>
    </row>
    <row r="85" spans="1:12">
      <c r="A85" t="s">
        <v>169</v>
      </c>
      <c r="B85" t="s">
        <v>170</v>
      </c>
      <c r="C85" t="s">
        <v>171</v>
      </c>
      <c r="D85">
        <v>10.767667817408</v>
      </c>
      <c r="E85">
        <v>2013</v>
      </c>
      <c r="F85">
        <v>5315.1664559999999</v>
      </c>
      <c r="G85">
        <v>493.62</v>
      </c>
      <c r="H85">
        <v>2011</v>
      </c>
      <c r="I85">
        <v>63781.997470000002</v>
      </c>
      <c r="J85">
        <v>5923.4737320000004</v>
      </c>
      <c r="K85">
        <v>1226.5768740000001</v>
      </c>
      <c r="L85">
        <v>113.9129564</v>
      </c>
    </row>
    <row r="86" spans="1:12">
      <c r="A86" t="s">
        <v>172</v>
      </c>
      <c r="B86" t="s">
        <v>173</v>
      </c>
      <c r="D86">
        <v>6.0323961577205001</v>
      </c>
      <c r="E86">
        <v>2013</v>
      </c>
    </row>
    <row r="87" spans="1:12">
      <c r="A87" t="s">
        <v>174</v>
      </c>
      <c r="B87" t="s">
        <v>175</v>
      </c>
      <c r="C87" t="s">
        <v>176</v>
      </c>
      <c r="D87">
        <v>143.64103446300001</v>
      </c>
      <c r="E87">
        <v>2013</v>
      </c>
      <c r="F87">
        <v>230664</v>
      </c>
      <c r="G87">
        <v>1605.84</v>
      </c>
      <c r="H87">
        <v>2013</v>
      </c>
      <c r="I87">
        <v>2767968</v>
      </c>
      <c r="J87">
        <v>19270.036660000002</v>
      </c>
      <c r="K87">
        <v>53230.153850000002</v>
      </c>
      <c r="L87">
        <v>370.57762810000003</v>
      </c>
    </row>
    <row r="88" spans="1:12">
      <c r="A88" t="s">
        <v>177</v>
      </c>
      <c r="B88" t="s">
        <v>178</v>
      </c>
      <c r="C88" t="s">
        <v>117</v>
      </c>
      <c r="D88">
        <v>147.63420184399999</v>
      </c>
      <c r="E88">
        <v>2013</v>
      </c>
      <c r="F88">
        <v>398000</v>
      </c>
      <c r="G88">
        <v>2695.85</v>
      </c>
      <c r="H88">
        <v>2013</v>
      </c>
      <c r="I88">
        <v>4776000</v>
      </c>
      <c r="J88">
        <v>32350.22739</v>
      </c>
      <c r="K88">
        <v>91846.153850000002</v>
      </c>
      <c r="L88">
        <v>622.11975749999999</v>
      </c>
    </row>
    <row r="89" spans="1:12">
      <c r="A89" t="s">
        <v>179</v>
      </c>
      <c r="B89" t="s">
        <v>180</v>
      </c>
      <c r="C89" t="s">
        <v>14</v>
      </c>
      <c r="D89">
        <v>17.5303976913188</v>
      </c>
      <c r="E89">
        <v>2013</v>
      </c>
      <c r="F89">
        <v>10291.32</v>
      </c>
      <c r="G89">
        <v>587.05999999999995</v>
      </c>
      <c r="H89">
        <v>2012</v>
      </c>
      <c r="I89">
        <v>123495.84</v>
      </c>
      <c r="J89">
        <v>7044.6684770000002</v>
      </c>
      <c r="K89">
        <v>2374.92</v>
      </c>
      <c r="L89">
        <v>135.4743938</v>
      </c>
    </row>
    <row r="90" spans="1:12">
      <c r="A90" t="s">
        <v>181</v>
      </c>
      <c r="B90" t="s">
        <v>182</v>
      </c>
      <c r="C90" t="s">
        <v>183</v>
      </c>
      <c r="D90">
        <v>4384.4344068550699</v>
      </c>
      <c r="E90">
        <v>2013</v>
      </c>
      <c r="F90">
        <v>1909478</v>
      </c>
      <c r="G90">
        <v>435.51</v>
      </c>
      <c r="H90">
        <v>2013</v>
      </c>
      <c r="I90">
        <v>22913736</v>
      </c>
      <c r="J90">
        <v>5226.1555019999996</v>
      </c>
      <c r="K90">
        <v>440648.76919999998</v>
      </c>
      <c r="L90">
        <v>100.5029904</v>
      </c>
    </row>
    <row r="91" spans="1:12">
      <c r="A91" t="s">
        <v>184</v>
      </c>
      <c r="B91" t="s">
        <v>185</v>
      </c>
      <c r="D91">
        <v>8565.4058839527406</v>
      </c>
      <c r="E91">
        <v>2013</v>
      </c>
    </row>
    <row r="92" spans="1:12">
      <c r="A92" t="s">
        <v>186</v>
      </c>
      <c r="B92" t="s">
        <v>187</v>
      </c>
      <c r="D92">
        <v>598.43661221040099</v>
      </c>
      <c r="E92">
        <v>2013</v>
      </c>
    </row>
    <row r="93" spans="1:12">
      <c r="A93" t="s">
        <v>188</v>
      </c>
      <c r="B93" t="s">
        <v>189</v>
      </c>
      <c r="C93" t="s">
        <v>34</v>
      </c>
      <c r="D93">
        <v>0.95715871600000002</v>
      </c>
      <c r="E93">
        <v>2013</v>
      </c>
      <c r="F93">
        <v>2981.853333</v>
      </c>
      <c r="G93">
        <v>3115.32</v>
      </c>
      <c r="H93">
        <v>2013</v>
      </c>
      <c r="I93">
        <v>35782.239999999998</v>
      </c>
      <c r="J93">
        <v>37383.810440000001</v>
      </c>
      <c r="K93">
        <v>688.12</v>
      </c>
      <c r="L93">
        <v>718.91943149999997</v>
      </c>
    </row>
    <row r="94" spans="1:12">
      <c r="A94" t="s">
        <v>426</v>
      </c>
      <c r="B94" t="s">
        <v>427</v>
      </c>
      <c r="C94" t="s">
        <v>382</v>
      </c>
    </row>
    <row r="95" spans="1:12">
      <c r="A95" t="s">
        <v>190</v>
      </c>
      <c r="B95" t="s">
        <v>191</v>
      </c>
      <c r="C95" t="s">
        <v>14</v>
      </c>
      <c r="D95">
        <v>4.3491101539999999</v>
      </c>
      <c r="E95">
        <v>2013</v>
      </c>
      <c r="F95">
        <v>9149</v>
      </c>
      <c r="G95">
        <v>2103.65</v>
      </c>
      <c r="H95">
        <v>2012</v>
      </c>
      <c r="I95">
        <v>109788</v>
      </c>
      <c r="J95">
        <v>25243.784619999999</v>
      </c>
      <c r="K95">
        <v>2111.3076919999999</v>
      </c>
      <c r="L95">
        <v>485.45739650000002</v>
      </c>
    </row>
    <row r="96" spans="1:12">
      <c r="A96" t="s">
        <v>192</v>
      </c>
      <c r="B96" t="s">
        <v>193</v>
      </c>
      <c r="C96" t="s">
        <v>34</v>
      </c>
      <c r="D96">
        <v>0.83676677700000002</v>
      </c>
      <c r="E96">
        <v>2013</v>
      </c>
      <c r="F96">
        <v>2175.318029</v>
      </c>
      <c r="G96">
        <v>2599.67</v>
      </c>
      <c r="H96">
        <v>2013</v>
      </c>
      <c r="I96">
        <v>26103.816350000001</v>
      </c>
      <c r="J96">
        <v>31196.047770000001</v>
      </c>
      <c r="K96">
        <v>501.99646819999998</v>
      </c>
      <c r="L96">
        <v>599.92399560000001</v>
      </c>
    </row>
    <row r="97" spans="1:12">
      <c r="A97" t="s">
        <v>194</v>
      </c>
      <c r="B97" t="s">
        <v>195</v>
      </c>
      <c r="C97" t="s">
        <v>196</v>
      </c>
      <c r="D97">
        <v>71.5045063581411</v>
      </c>
      <c r="E97">
        <v>2013</v>
      </c>
      <c r="F97">
        <v>81604</v>
      </c>
      <c r="G97">
        <v>1141.24</v>
      </c>
      <c r="H97">
        <v>2013</v>
      </c>
      <c r="I97">
        <v>979248</v>
      </c>
      <c r="J97">
        <v>13694.91309</v>
      </c>
      <c r="K97">
        <v>18831.692309999999</v>
      </c>
      <c r="L97">
        <v>263.36371320000001</v>
      </c>
    </row>
    <row r="98" spans="1:12">
      <c r="A98" t="s">
        <v>197</v>
      </c>
      <c r="B98" t="s">
        <v>198</v>
      </c>
      <c r="C98" t="s">
        <v>94</v>
      </c>
      <c r="D98">
        <v>112.261024654</v>
      </c>
      <c r="E98">
        <v>2013</v>
      </c>
      <c r="F98">
        <v>324000</v>
      </c>
      <c r="G98">
        <v>2886.13</v>
      </c>
      <c r="H98">
        <v>2013</v>
      </c>
      <c r="I98">
        <v>3888000</v>
      </c>
      <c r="J98">
        <v>34633.569499999998</v>
      </c>
      <c r="K98">
        <v>74769.230769999995</v>
      </c>
      <c r="L98">
        <v>666.03018280000003</v>
      </c>
    </row>
    <row r="99" spans="1:12">
      <c r="A99" t="s">
        <v>199</v>
      </c>
      <c r="B99" t="s">
        <v>200</v>
      </c>
      <c r="D99">
        <v>0.34070951877759997</v>
      </c>
      <c r="E99">
        <v>2013</v>
      </c>
      <c r="F99">
        <v>437</v>
      </c>
      <c r="G99">
        <v>1282.6199999999999</v>
      </c>
      <c r="H99">
        <v>2012</v>
      </c>
      <c r="I99">
        <v>5244</v>
      </c>
      <c r="J99">
        <v>15391.410309999999</v>
      </c>
      <c r="K99">
        <v>100.8461538</v>
      </c>
      <c r="L99">
        <v>295.98865979999999</v>
      </c>
    </row>
    <row r="100" spans="1:12">
      <c r="A100" t="s">
        <v>201</v>
      </c>
      <c r="B100" t="s">
        <v>202</v>
      </c>
      <c r="C100" t="s">
        <v>73</v>
      </c>
      <c r="D100">
        <v>89.815530353114099</v>
      </c>
      <c r="E100">
        <v>2013</v>
      </c>
      <c r="F100">
        <v>101263</v>
      </c>
      <c r="G100">
        <v>1127.46</v>
      </c>
      <c r="H100">
        <v>2012</v>
      </c>
      <c r="I100">
        <v>1215156</v>
      </c>
      <c r="J100">
        <v>13529.464169999999</v>
      </c>
      <c r="K100">
        <v>23368.384620000001</v>
      </c>
      <c r="L100">
        <v>260.18200330000002</v>
      </c>
    </row>
    <row r="101" spans="1:12">
      <c r="A101" t="s">
        <v>203</v>
      </c>
      <c r="B101" t="s">
        <v>204</v>
      </c>
      <c r="D101">
        <v>39.558240077523003</v>
      </c>
      <c r="E101">
        <v>2013</v>
      </c>
      <c r="F101">
        <v>36066.908329999998</v>
      </c>
      <c r="G101">
        <v>911.74</v>
      </c>
      <c r="H101">
        <v>2012</v>
      </c>
      <c r="I101">
        <v>432802.9</v>
      </c>
      <c r="J101">
        <v>10940.90382</v>
      </c>
      <c r="K101">
        <v>8323.1326919999992</v>
      </c>
      <c r="L101">
        <v>210.4019965</v>
      </c>
    </row>
    <row r="102" spans="1:12">
      <c r="A102" t="s">
        <v>428</v>
      </c>
      <c r="B102" t="s">
        <v>429</v>
      </c>
    </row>
    <row r="103" spans="1:12">
      <c r="A103" t="s">
        <v>430</v>
      </c>
      <c r="B103" t="s">
        <v>431</v>
      </c>
    </row>
    <row r="104" spans="1:12">
      <c r="A104" t="s">
        <v>205</v>
      </c>
      <c r="B104" t="s">
        <v>206</v>
      </c>
      <c r="D104">
        <v>915.184100919</v>
      </c>
      <c r="E104">
        <v>2013</v>
      </c>
    </row>
    <row r="105" spans="1:12">
      <c r="A105" t="s">
        <v>207</v>
      </c>
      <c r="B105" t="s">
        <v>208</v>
      </c>
      <c r="D105">
        <v>0.35047129883560002</v>
      </c>
      <c r="E105">
        <v>2013</v>
      </c>
    </row>
    <row r="106" spans="1:12">
      <c r="A106" t="s">
        <v>209</v>
      </c>
      <c r="B106" t="s">
        <v>210</v>
      </c>
      <c r="D106">
        <v>0.18400267420559999</v>
      </c>
      <c r="E106">
        <v>2013</v>
      </c>
      <c r="F106">
        <v>622.33333330000005</v>
      </c>
      <c r="G106">
        <v>3382.2</v>
      </c>
      <c r="H106">
        <v>2011</v>
      </c>
      <c r="I106">
        <v>7468</v>
      </c>
      <c r="J106">
        <v>40586.366650000004</v>
      </c>
      <c r="K106">
        <v>143.6153846</v>
      </c>
      <c r="L106">
        <v>780.50705100000005</v>
      </c>
    </row>
    <row r="107" spans="1:12">
      <c r="A107" t="s">
        <v>211</v>
      </c>
      <c r="B107" t="s">
        <v>212</v>
      </c>
      <c r="D107">
        <v>18.538158387990801</v>
      </c>
      <c r="E107">
        <v>2013</v>
      </c>
    </row>
    <row r="108" spans="1:12">
      <c r="A108" t="s">
        <v>213</v>
      </c>
      <c r="B108" t="s">
        <v>214</v>
      </c>
      <c r="D108">
        <v>3121.1049169878202</v>
      </c>
      <c r="E108">
        <v>2013</v>
      </c>
    </row>
    <row r="109" spans="1:12">
      <c r="A109" t="s">
        <v>215</v>
      </c>
      <c r="B109" t="s">
        <v>216</v>
      </c>
      <c r="C109" t="s">
        <v>217</v>
      </c>
      <c r="D109">
        <v>0.40490832122370002</v>
      </c>
      <c r="E109">
        <v>2013</v>
      </c>
      <c r="F109">
        <v>716</v>
      </c>
      <c r="G109">
        <v>1768.3</v>
      </c>
      <c r="H109">
        <v>2013</v>
      </c>
      <c r="I109">
        <v>8592</v>
      </c>
      <c r="J109">
        <v>21219.61824</v>
      </c>
      <c r="K109">
        <v>165.2307692</v>
      </c>
      <c r="L109">
        <v>408.06958159999999</v>
      </c>
    </row>
    <row r="110" spans="1:12">
      <c r="A110" t="s">
        <v>432</v>
      </c>
      <c r="B110" t="s">
        <v>433</v>
      </c>
      <c r="C110" t="s">
        <v>382</v>
      </c>
      <c r="D110">
        <v>892.38199999999995</v>
      </c>
      <c r="E110">
        <v>2011</v>
      </c>
      <c r="F110">
        <v>690000</v>
      </c>
      <c r="G110">
        <v>773.21</v>
      </c>
      <c r="H110">
        <v>2009</v>
      </c>
      <c r="I110">
        <v>8280000</v>
      </c>
      <c r="J110">
        <v>9278.5376670000005</v>
      </c>
      <c r="K110">
        <v>159230.76920000001</v>
      </c>
      <c r="L110">
        <v>178.43341670000001</v>
      </c>
    </row>
    <row r="111" spans="1:12">
      <c r="A111" t="s">
        <v>218</v>
      </c>
      <c r="B111" t="s">
        <v>219</v>
      </c>
      <c r="D111">
        <v>4.1542077465747997</v>
      </c>
      <c r="E111">
        <v>2013</v>
      </c>
      <c r="F111">
        <v>1589.5</v>
      </c>
      <c r="G111">
        <v>382.62</v>
      </c>
      <c r="H111">
        <v>2013</v>
      </c>
      <c r="I111">
        <v>19074</v>
      </c>
      <c r="J111">
        <v>4591.4891989999996</v>
      </c>
      <c r="K111">
        <v>366.80769229999999</v>
      </c>
      <c r="L111">
        <v>88.297869219999995</v>
      </c>
    </row>
    <row r="112" spans="1:12">
      <c r="A112" t="s">
        <v>220</v>
      </c>
      <c r="B112" t="s">
        <v>221</v>
      </c>
      <c r="C112" t="s">
        <v>31</v>
      </c>
      <c r="D112">
        <v>45.504248800505003</v>
      </c>
      <c r="E112">
        <v>2013</v>
      </c>
    </row>
    <row r="113" spans="1:12">
      <c r="A113" t="s">
        <v>434</v>
      </c>
      <c r="B113" t="s">
        <v>435</v>
      </c>
      <c r="D113">
        <v>0.68347981227059995</v>
      </c>
      <c r="E113">
        <v>2012</v>
      </c>
    </row>
    <row r="114" spans="1:12">
      <c r="A114" t="s">
        <v>436</v>
      </c>
      <c r="B114" t="s">
        <v>437</v>
      </c>
    </row>
    <row r="115" spans="1:12">
      <c r="A115" t="s">
        <v>222</v>
      </c>
      <c r="B115" t="s">
        <v>223</v>
      </c>
      <c r="C115" t="s">
        <v>224</v>
      </c>
      <c r="D115">
        <v>1.8081257510312001</v>
      </c>
      <c r="E115">
        <v>2013</v>
      </c>
      <c r="F115">
        <v>2230</v>
      </c>
      <c r="G115">
        <v>1233.32</v>
      </c>
      <c r="H115">
        <v>2013</v>
      </c>
      <c r="I115">
        <v>26760</v>
      </c>
      <c r="J115">
        <v>14799.855589999999</v>
      </c>
      <c r="K115">
        <v>514.61538459999997</v>
      </c>
      <c r="L115">
        <v>284.61260750000002</v>
      </c>
    </row>
    <row r="116" spans="1:12">
      <c r="A116" t="s">
        <v>225</v>
      </c>
      <c r="B116" t="s">
        <v>226</v>
      </c>
      <c r="D116">
        <v>0.998787007</v>
      </c>
      <c r="E116">
        <v>2013</v>
      </c>
      <c r="F116">
        <v>4307.9099939999996</v>
      </c>
      <c r="G116">
        <v>4313.1400000000003</v>
      </c>
      <c r="H116">
        <v>2013</v>
      </c>
      <c r="I116">
        <v>51694.919929999996</v>
      </c>
      <c r="J116">
        <v>51757.701659999999</v>
      </c>
      <c r="K116">
        <v>994.13307559999998</v>
      </c>
      <c r="L116">
        <v>995.34041660000003</v>
      </c>
    </row>
    <row r="117" spans="1:12">
      <c r="A117" t="s">
        <v>227</v>
      </c>
      <c r="B117" t="s">
        <v>228</v>
      </c>
      <c r="D117">
        <v>5.9042813315559002</v>
      </c>
      <c r="E117">
        <v>2013</v>
      </c>
    </row>
    <row r="118" spans="1:12">
      <c r="A118" t="s">
        <v>229</v>
      </c>
      <c r="B118" t="s">
        <v>230</v>
      </c>
      <c r="D118">
        <v>23.285862752102901</v>
      </c>
      <c r="E118">
        <v>2013</v>
      </c>
    </row>
    <row r="119" spans="1:12">
      <c r="A119" t="s">
        <v>231</v>
      </c>
      <c r="B119" t="s">
        <v>232</v>
      </c>
      <c r="D119">
        <v>766.11166120841403</v>
      </c>
      <c r="E119">
        <v>2013</v>
      </c>
      <c r="F119">
        <v>116000</v>
      </c>
      <c r="G119">
        <v>151.41</v>
      </c>
      <c r="H119">
        <v>2010</v>
      </c>
      <c r="I119">
        <v>1392000</v>
      </c>
      <c r="J119">
        <v>1816.9675130000001</v>
      </c>
      <c r="K119">
        <v>26769.230769999998</v>
      </c>
      <c r="L119">
        <v>34.941682950000001</v>
      </c>
    </row>
    <row r="120" spans="1:12">
      <c r="A120" t="s">
        <v>233</v>
      </c>
      <c r="B120" t="s">
        <v>234</v>
      </c>
      <c r="D120">
        <v>116.280768031845</v>
      </c>
      <c r="E120">
        <v>2013</v>
      </c>
      <c r="F120">
        <v>27541.666669999999</v>
      </c>
      <c r="G120">
        <v>236.85</v>
      </c>
      <c r="H120">
        <v>2009</v>
      </c>
      <c r="I120">
        <v>330500</v>
      </c>
      <c r="J120">
        <v>2842.2584889999998</v>
      </c>
      <c r="K120">
        <v>6355.7692310000002</v>
      </c>
      <c r="L120">
        <v>54.658817089999999</v>
      </c>
    </row>
    <row r="121" spans="1:12">
      <c r="A121" t="s">
        <v>235</v>
      </c>
      <c r="B121" t="s">
        <v>236</v>
      </c>
      <c r="C121" t="s">
        <v>237</v>
      </c>
      <c r="D121">
        <v>1.5896200135577001</v>
      </c>
      <c r="E121">
        <v>2013</v>
      </c>
      <c r="F121">
        <v>2674.4469650000001</v>
      </c>
      <c r="G121">
        <v>1682.44</v>
      </c>
      <c r="H121">
        <v>2013</v>
      </c>
      <c r="I121">
        <v>32093.363580000001</v>
      </c>
      <c r="J121">
        <v>20189.33035</v>
      </c>
      <c r="K121">
        <v>617.18006879999996</v>
      </c>
      <c r="L121">
        <v>388.2563528</v>
      </c>
    </row>
    <row r="122" spans="1:12">
      <c r="A122" t="s">
        <v>238</v>
      </c>
      <c r="B122" t="s">
        <v>239</v>
      </c>
      <c r="D122">
        <v>11.826596344688699</v>
      </c>
      <c r="E122">
        <v>2013</v>
      </c>
    </row>
    <row r="123" spans="1:12">
      <c r="A123" t="s">
        <v>240</v>
      </c>
      <c r="B123" t="s">
        <v>241</v>
      </c>
      <c r="D123">
        <v>224.502188263433</v>
      </c>
      <c r="E123">
        <v>2013</v>
      </c>
    </row>
    <row r="124" spans="1:12">
      <c r="A124" t="s">
        <v>242</v>
      </c>
      <c r="B124" t="s">
        <v>243</v>
      </c>
      <c r="C124" t="s">
        <v>34</v>
      </c>
      <c r="D124">
        <v>0.64481341950570004</v>
      </c>
      <c r="E124">
        <v>2013</v>
      </c>
      <c r="F124">
        <v>1320.916667</v>
      </c>
      <c r="G124">
        <v>2048.5300000000002</v>
      </c>
      <c r="H124">
        <v>2013</v>
      </c>
      <c r="I124">
        <v>15851</v>
      </c>
      <c r="J124">
        <v>24582.304769999999</v>
      </c>
      <c r="K124">
        <v>304.82692309999999</v>
      </c>
      <c r="L124">
        <v>472.73663019999998</v>
      </c>
    </row>
    <row r="125" spans="1:12">
      <c r="A125" t="s">
        <v>438</v>
      </c>
      <c r="B125" t="s">
        <v>439</v>
      </c>
    </row>
    <row r="126" spans="1:12">
      <c r="A126" t="s">
        <v>244</v>
      </c>
      <c r="B126" t="s">
        <v>245</v>
      </c>
      <c r="D126">
        <v>119.020696197985</v>
      </c>
      <c r="E126">
        <v>2013</v>
      </c>
    </row>
    <row r="127" spans="1:12">
      <c r="A127" t="s">
        <v>246</v>
      </c>
      <c r="B127" t="s">
        <v>247</v>
      </c>
      <c r="C127" t="s">
        <v>14</v>
      </c>
      <c r="D127">
        <v>18.9859188672988</v>
      </c>
      <c r="E127">
        <v>2013</v>
      </c>
      <c r="F127">
        <v>23391</v>
      </c>
      <c r="G127">
        <v>1232.02</v>
      </c>
      <c r="H127">
        <v>2013</v>
      </c>
      <c r="I127">
        <v>280692</v>
      </c>
      <c r="J127">
        <v>14784.21992</v>
      </c>
      <c r="K127">
        <v>5397.9230770000004</v>
      </c>
      <c r="L127">
        <v>284.31192160000001</v>
      </c>
    </row>
    <row r="128" spans="1:12">
      <c r="A128" t="s">
        <v>248</v>
      </c>
      <c r="B128" t="s">
        <v>249</v>
      </c>
      <c r="C128" t="s">
        <v>31</v>
      </c>
      <c r="D128">
        <v>9.3765936070000002</v>
      </c>
      <c r="E128">
        <v>2013</v>
      </c>
      <c r="F128">
        <v>6390.8</v>
      </c>
      <c r="G128">
        <v>681.57</v>
      </c>
      <c r="H128">
        <v>2013</v>
      </c>
      <c r="I128">
        <v>76689.600000000006</v>
      </c>
      <c r="J128">
        <v>8178.8337229999997</v>
      </c>
      <c r="K128">
        <v>1474.8</v>
      </c>
      <c r="L128">
        <v>157.28526389999999</v>
      </c>
    </row>
    <row r="129" spans="1:12">
      <c r="A129" t="s">
        <v>440</v>
      </c>
      <c r="B129" t="s">
        <v>441</v>
      </c>
    </row>
    <row r="130" spans="1:12">
      <c r="A130" t="s">
        <v>442</v>
      </c>
      <c r="B130" t="s">
        <v>443</v>
      </c>
    </row>
    <row r="131" spans="1:12">
      <c r="A131" t="s">
        <v>250</v>
      </c>
      <c r="B131" t="s">
        <v>251</v>
      </c>
      <c r="D131">
        <v>5.7635828359326</v>
      </c>
      <c r="E131">
        <v>2013</v>
      </c>
    </row>
    <row r="132" spans="1:12">
      <c r="A132" t="s">
        <v>444</v>
      </c>
      <c r="B132" t="s">
        <v>445</v>
      </c>
    </row>
    <row r="133" spans="1:12">
      <c r="A133" t="s">
        <v>252</v>
      </c>
      <c r="B133" t="s">
        <v>253</v>
      </c>
      <c r="C133" t="s">
        <v>14</v>
      </c>
      <c r="D133">
        <v>715.67709986935495</v>
      </c>
      <c r="E133">
        <v>2013</v>
      </c>
      <c r="F133">
        <v>557550</v>
      </c>
      <c r="G133">
        <v>779.05</v>
      </c>
      <c r="H133">
        <v>2012</v>
      </c>
      <c r="I133">
        <v>6690600</v>
      </c>
      <c r="J133">
        <v>9348.6294319999997</v>
      </c>
      <c r="K133">
        <v>128665.3846</v>
      </c>
      <c r="L133">
        <v>179.7813352</v>
      </c>
    </row>
    <row r="134" spans="1:12">
      <c r="A134" t="s">
        <v>254</v>
      </c>
      <c r="B134" t="s">
        <v>255</v>
      </c>
      <c r="D134">
        <v>0.45530025007309999</v>
      </c>
      <c r="E134">
        <v>2013</v>
      </c>
      <c r="F134">
        <v>726</v>
      </c>
      <c r="G134">
        <v>1594.55</v>
      </c>
      <c r="H134">
        <v>2013</v>
      </c>
      <c r="I134">
        <v>8712</v>
      </c>
      <c r="J134">
        <v>19134.62599</v>
      </c>
      <c r="K134">
        <v>167.53846150000001</v>
      </c>
      <c r="L134">
        <v>367.97357679999999</v>
      </c>
    </row>
    <row r="135" spans="1:12">
      <c r="A135" t="s">
        <v>256</v>
      </c>
      <c r="B135" t="s">
        <v>257</v>
      </c>
      <c r="D135">
        <v>4.1779959051639004</v>
      </c>
      <c r="E135">
        <v>2013</v>
      </c>
    </row>
    <row r="136" spans="1:12">
      <c r="A136" t="s">
        <v>258</v>
      </c>
      <c r="B136" t="s">
        <v>259</v>
      </c>
      <c r="C136" t="s">
        <v>260</v>
      </c>
      <c r="D136">
        <v>16.0508102313587</v>
      </c>
      <c r="E136">
        <v>2013</v>
      </c>
    </row>
    <row r="137" spans="1:12">
      <c r="A137" t="s">
        <v>261</v>
      </c>
      <c r="B137" t="s">
        <v>262</v>
      </c>
      <c r="D137">
        <v>285.1718580639</v>
      </c>
      <c r="E137">
        <v>2013</v>
      </c>
      <c r="F137">
        <v>32332.3</v>
      </c>
      <c r="G137">
        <v>113.38</v>
      </c>
      <c r="H137">
        <v>2008</v>
      </c>
      <c r="I137">
        <v>387987.6</v>
      </c>
      <c r="J137">
        <v>1360.5395799999999</v>
      </c>
      <c r="K137">
        <v>7461.3</v>
      </c>
      <c r="L137">
        <v>26.164222689999999</v>
      </c>
    </row>
    <row r="138" spans="1:12">
      <c r="A138" t="s">
        <v>263</v>
      </c>
      <c r="B138" t="s">
        <v>264</v>
      </c>
      <c r="C138" t="s">
        <v>31</v>
      </c>
      <c r="D138">
        <v>5.5737290068289003</v>
      </c>
      <c r="E138">
        <v>2013</v>
      </c>
    </row>
    <row r="139" spans="1:12">
      <c r="A139" t="s">
        <v>265</v>
      </c>
      <c r="B139" t="s">
        <v>266</v>
      </c>
      <c r="C139" t="s">
        <v>14</v>
      </c>
      <c r="D139">
        <v>29.685990583434201</v>
      </c>
      <c r="E139">
        <v>2013</v>
      </c>
      <c r="F139">
        <v>5117</v>
      </c>
      <c r="G139">
        <v>172.37</v>
      </c>
      <c r="H139">
        <v>2008</v>
      </c>
      <c r="I139">
        <v>61404</v>
      </c>
      <c r="J139">
        <v>2068.4504299999999</v>
      </c>
      <c r="K139">
        <v>1180.8461540000001</v>
      </c>
      <c r="L139">
        <v>39.777892889999997</v>
      </c>
    </row>
    <row r="140" spans="1:12">
      <c r="A140" t="s">
        <v>267</v>
      </c>
      <c r="B140" t="s">
        <v>268</v>
      </c>
      <c r="D140">
        <v>0.89286748100000002</v>
      </c>
      <c r="E140">
        <v>2013</v>
      </c>
      <c r="F140">
        <v>2302</v>
      </c>
      <c r="G140">
        <v>2578.21</v>
      </c>
      <c r="H140">
        <v>2012</v>
      </c>
      <c r="I140">
        <v>27624</v>
      </c>
      <c r="J140">
        <v>30938.521769999999</v>
      </c>
      <c r="K140">
        <v>531.23076920000005</v>
      </c>
      <c r="L140">
        <v>594.97157249999998</v>
      </c>
    </row>
    <row r="141" spans="1:12">
      <c r="A141" t="s">
        <v>446</v>
      </c>
      <c r="B141" t="s">
        <v>447</v>
      </c>
    </row>
    <row r="142" spans="1:12">
      <c r="A142" t="s">
        <v>269</v>
      </c>
      <c r="B142" t="s">
        <v>270</v>
      </c>
      <c r="C142" t="s">
        <v>31</v>
      </c>
      <c r="D142">
        <v>1.5697791109999999</v>
      </c>
      <c r="E142">
        <v>2013</v>
      </c>
      <c r="F142">
        <v>4169</v>
      </c>
      <c r="G142">
        <v>2655.79</v>
      </c>
      <c r="H142">
        <v>2013</v>
      </c>
      <c r="I142">
        <v>50028</v>
      </c>
      <c r="J142">
        <v>31869.451980000002</v>
      </c>
      <c r="K142">
        <v>962.07692310000004</v>
      </c>
      <c r="L142">
        <v>612.87407659999997</v>
      </c>
    </row>
    <row r="143" spans="1:12">
      <c r="A143" t="s">
        <v>271</v>
      </c>
      <c r="B143" t="s">
        <v>272</v>
      </c>
      <c r="C143" t="s">
        <v>273</v>
      </c>
      <c r="D143">
        <v>10.1575750398676</v>
      </c>
      <c r="E143">
        <v>2013</v>
      </c>
      <c r="F143">
        <v>7462.75</v>
      </c>
      <c r="G143">
        <v>734.7</v>
      </c>
      <c r="H143">
        <v>2013</v>
      </c>
      <c r="I143">
        <v>89553</v>
      </c>
      <c r="J143">
        <v>8816.3759210000007</v>
      </c>
      <c r="K143">
        <v>1722.1730769999999</v>
      </c>
      <c r="L143">
        <v>169.54569079999999</v>
      </c>
    </row>
    <row r="144" spans="1:12">
      <c r="A144" t="s">
        <v>274</v>
      </c>
      <c r="B144" t="s">
        <v>275</v>
      </c>
      <c r="D144">
        <v>226.981682500511</v>
      </c>
      <c r="E144">
        <v>2013</v>
      </c>
    </row>
    <row r="145" spans="1:12">
      <c r="A145" t="s">
        <v>276</v>
      </c>
      <c r="B145" t="s">
        <v>277</v>
      </c>
      <c r="C145" t="s">
        <v>14</v>
      </c>
      <c r="D145">
        <v>93.480246028143597</v>
      </c>
      <c r="E145">
        <v>2013</v>
      </c>
    </row>
    <row r="146" spans="1:12">
      <c r="A146" t="s">
        <v>448</v>
      </c>
      <c r="B146" t="s">
        <v>449</v>
      </c>
    </row>
    <row r="147" spans="1:12">
      <c r="A147" t="s">
        <v>278</v>
      </c>
      <c r="B147" t="s">
        <v>279</v>
      </c>
      <c r="C147" t="s">
        <v>117</v>
      </c>
      <c r="D147">
        <v>9.8005459609999992</v>
      </c>
      <c r="E147">
        <v>2013</v>
      </c>
      <c r="F147">
        <v>41000</v>
      </c>
      <c r="G147">
        <v>4183.4399999999996</v>
      </c>
      <c r="H147">
        <v>2013</v>
      </c>
      <c r="I147">
        <v>492000</v>
      </c>
      <c r="J147">
        <v>50201.284899999999</v>
      </c>
      <c r="K147">
        <v>9461.5384620000004</v>
      </c>
      <c r="L147">
        <v>965.40932510000005</v>
      </c>
    </row>
    <row r="148" spans="1:12">
      <c r="A148" t="s">
        <v>280</v>
      </c>
      <c r="B148" t="s">
        <v>281</v>
      </c>
      <c r="C148" t="s">
        <v>14</v>
      </c>
      <c r="D148">
        <v>0.20124650769829999</v>
      </c>
      <c r="E148">
        <v>2013</v>
      </c>
      <c r="F148">
        <v>350</v>
      </c>
      <c r="G148">
        <v>1739.16</v>
      </c>
      <c r="H148">
        <v>2012</v>
      </c>
      <c r="I148">
        <v>4200</v>
      </c>
      <c r="J148">
        <v>20869.927370000001</v>
      </c>
      <c r="K148">
        <v>80.769230769999993</v>
      </c>
      <c r="L148">
        <v>401.3447572</v>
      </c>
    </row>
    <row r="149" spans="1:12">
      <c r="A149" t="s">
        <v>282</v>
      </c>
      <c r="B149" t="s">
        <v>283</v>
      </c>
      <c r="C149" t="s">
        <v>14</v>
      </c>
      <c r="D149">
        <v>28.9859354465104</v>
      </c>
      <c r="E149">
        <v>2013</v>
      </c>
      <c r="F149">
        <v>12118.08</v>
      </c>
      <c r="G149">
        <v>418.07</v>
      </c>
      <c r="H149">
        <v>2013</v>
      </c>
      <c r="I149">
        <v>145416.95999999999</v>
      </c>
      <c r="J149">
        <v>5016.8110070000002</v>
      </c>
      <c r="K149">
        <v>2796.48</v>
      </c>
      <c r="L149">
        <v>96.477134750000005</v>
      </c>
    </row>
    <row r="150" spans="1:12">
      <c r="A150" t="s">
        <v>450</v>
      </c>
      <c r="B150" t="s">
        <v>451</v>
      </c>
    </row>
    <row r="151" spans="1:12">
      <c r="A151" t="s">
        <v>284</v>
      </c>
      <c r="B151" t="s">
        <v>285</v>
      </c>
      <c r="C151" t="s">
        <v>286</v>
      </c>
      <c r="D151">
        <v>0.58755556763560002</v>
      </c>
      <c r="E151">
        <v>2013</v>
      </c>
      <c r="F151">
        <v>817.25685080000005</v>
      </c>
      <c r="G151">
        <v>1390.94</v>
      </c>
      <c r="H151">
        <v>2012</v>
      </c>
      <c r="I151">
        <v>9807.0822100000005</v>
      </c>
      <c r="J151">
        <v>16691.32717</v>
      </c>
      <c r="K151">
        <v>188.59773480000001</v>
      </c>
      <c r="L151">
        <v>320.98706099999998</v>
      </c>
    </row>
    <row r="152" spans="1:12">
      <c r="A152" t="s">
        <v>287</v>
      </c>
      <c r="B152" t="s">
        <v>288</v>
      </c>
      <c r="D152">
        <v>2.2650082227947999</v>
      </c>
      <c r="E152">
        <v>2013</v>
      </c>
    </row>
    <row r="153" spans="1:12">
      <c r="A153" t="s">
        <v>289</v>
      </c>
      <c r="B153" t="s">
        <v>290</v>
      </c>
      <c r="C153" t="s">
        <v>291</v>
      </c>
      <c r="D153">
        <v>2373.9634303533899</v>
      </c>
      <c r="E153">
        <v>2013</v>
      </c>
      <c r="F153">
        <v>1967369.71</v>
      </c>
      <c r="G153">
        <v>828.73</v>
      </c>
      <c r="H153">
        <v>2012</v>
      </c>
      <c r="I153">
        <v>23608436.52</v>
      </c>
      <c r="J153">
        <v>9944.7347069999996</v>
      </c>
      <c r="K153">
        <v>454008.3946</v>
      </c>
      <c r="L153">
        <v>191.24489819999999</v>
      </c>
    </row>
    <row r="154" spans="1:12">
      <c r="A154" t="s">
        <v>292</v>
      </c>
      <c r="B154" t="s">
        <v>293</v>
      </c>
      <c r="C154" t="s">
        <v>294</v>
      </c>
      <c r="D154">
        <v>1.6142096533228001</v>
      </c>
      <c r="E154">
        <v>2013</v>
      </c>
      <c r="F154">
        <v>1413.3614070000001</v>
      </c>
      <c r="G154">
        <v>875.57</v>
      </c>
      <c r="H154">
        <v>2013</v>
      </c>
      <c r="I154">
        <v>16960.336889999999</v>
      </c>
      <c r="J154">
        <v>10506.898440000001</v>
      </c>
      <c r="K154">
        <v>326.16032469999999</v>
      </c>
      <c r="L154">
        <v>202.0557392</v>
      </c>
    </row>
    <row r="155" spans="1:12">
      <c r="A155" t="s">
        <v>295</v>
      </c>
      <c r="B155" t="s">
        <v>296</v>
      </c>
      <c r="C155" t="s">
        <v>14</v>
      </c>
      <c r="D155">
        <v>19.3654036534735</v>
      </c>
      <c r="E155">
        <v>2013</v>
      </c>
      <c r="F155">
        <v>9107</v>
      </c>
      <c r="G155">
        <v>470.27</v>
      </c>
      <c r="H155">
        <v>2013</v>
      </c>
      <c r="I155">
        <v>109284</v>
      </c>
      <c r="J155">
        <v>5643.2595959999999</v>
      </c>
      <c r="K155">
        <v>2101.6153850000001</v>
      </c>
      <c r="L155">
        <v>108.52422300000001</v>
      </c>
    </row>
    <row r="156" spans="1:12">
      <c r="A156" t="s">
        <v>297</v>
      </c>
      <c r="B156" t="s">
        <v>298</v>
      </c>
      <c r="C156" t="s">
        <v>299</v>
      </c>
      <c r="D156">
        <v>1.9226109840000001</v>
      </c>
      <c r="E156">
        <v>2013</v>
      </c>
      <c r="F156">
        <v>3530</v>
      </c>
      <c r="G156">
        <v>1836.04</v>
      </c>
      <c r="H156">
        <v>2012</v>
      </c>
      <c r="I156">
        <v>42360</v>
      </c>
      <c r="J156">
        <v>22032.538229999998</v>
      </c>
      <c r="K156">
        <v>814.61538459999997</v>
      </c>
      <c r="L156">
        <v>423.70265819999997</v>
      </c>
    </row>
    <row r="157" spans="1:12">
      <c r="A157" t="s">
        <v>300</v>
      </c>
      <c r="B157" t="s">
        <v>301</v>
      </c>
      <c r="C157" t="s">
        <v>34</v>
      </c>
      <c r="D157">
        <v>0.697282128</v>
      </c>
      <c r="E157">
        <v>2013</v>
      </c>
      <c r="F157">
        <v>1094.73</v>
      </c>
      <c r="G157">
        <v>1570</v>
      </c>
      <c r="H157">
        <v>2012</v>
      </c>
      <c r="I157">
        <v>13136.76</v>
      </c>
      <c r="J157">
        <v>18839.949390000002</v>
      </c>
      <c r="K157">
        <v>252.63</v>
      </c>
      <c r="L157">
        <v>362.30671899999999</v>
      </c>
    </row>
    <row r="158" spans="1:12">
      <c r="A158" t="s">
        <v>452</v>
      </c>
      <c r="B158" t="s">
        <v>453</v>
      </c>
      <c r="F158">
        <v>2240.333333</v>
      </c>
      <c r="H158">
        <v>2013</v>
      </c>
      <c r="I158">
        <v>26884</v>
      </c>
      <c r="K158">
        <v>517</v>
      </c>
    </row>
    <row r="159" spans="1:12">
      <c r="A159" t="s">
        <v>302</v>
      </c>
      <c r="B159" t="s">
        <v>303</v>
      </c>
      <c r="C159" t="s">
        <v>14</v>
      </c>
      <c r="D159">
        <v>2.6783864565289002</v>
      </c>
      <c r="E159">
        <v>2013</v>
      </c>
      <c r="F159">
        <v>9435</v>
      </c>
      <c r="G159">
        <v>3522.64</v>
      </c>
      <c r="H159">
        <v>2013</v>
      </c>
      <c r="I159">
        <v>113220</v>
      </c>
      <c r="J159">
        <v>42271.719129999998</v>
      </c>
      <c r="K159">
        <v>2177.3076919999999</v>
      </c>
      <c r="L159">
        <v>812.91767549999997</v>
      </c>
    </row>
    <row r="160" spans="1:12">
      <c r="A160" t="s">
        <v>304</v>
      </c>
      <c r="B160" t="s">
        <v>305</v>
      </c>
      <c r="C160" t="s">
        <v>306</v>
      </c>
      <c r="D160">
        <v>2.0582556591211998</v>
      </c>
      <c r="E160">
        <v>2013</v>
      </c>
      <c r="F160">
        <v>2063</v>
      </c>
      <c r="G160">
        <v>1002.31</v>
      </c>
      <c r="H160">
        <v>2012</v>
      </c>
      <c r="I160">
        <v>24756</v>
      </c>
      <c r="J160">
        <v>12027.66036</v>
      </c>
      <c r="K160">
        <v>476.07692309999999</v>
      </c>
      <c r="L160">
        <v>231.30116079999999</v>
      </c>
    </row>
    <row r="161" spans="1:12">
      <c r="A161" t="s">
        <v>307</v>
      </c>
      <c r="B161" t="s">
        <v>308</v>
      </c>
      <c r="C161" t="s">
        <v>37</v>
      </c>
      <c r="D161">
        <v>18.257159557514701</v>
      </c>
      <c r="E161">
        <v>2013</v>
      </c>
      <c r="F161">
        <v>29960</v>
      </c>
      <c r="G161">
        <v>1641</v>
      </c>
      <c r="H161">
        <v>2013</v>
      </c>
      <c r="I161">
        <v>359520</v>
      </c>
      <c r="J161">
        <v>19692.000769999999</v>
      </c>
      <c r="K161">
        <v>6913.8461539999998</v>
      </c>
      <c r="L161">
        <v>378.69232240000002</v>
      </c>
    </row>
    <row r="162" spans="1:12">
      <c r="A162" t="s">
        <v>309</v>
      </c>
      <c r="B162" t="s">
        <v>310</v>
      </c>
      <c r="D162">
        <v>264.01351395960199</v>
      </c>
      <c r="E162">
        <v>2013</v>
      </c>
    </row>
    <row r="163" spans="1:12">
      <c r="A163" t="s">
        <v>311</v>
      </c>
      <c r="B163" t="s">
        <v>312</v>
      </c>
      <c r="D163">
        <v>1.8838946266762999</v>
      </c>
      <c r="E163">
        <v>2013</v>
      </c>
    </row>
    <row r="164" spans="1:12">
      <c r="A164" t="s">
        <v>313</v>
      </c>
      <c r="B164" t="s">
        <v>314</v>
      </c>
      <c r="D164">
        <v>0.78011780770579997</v>
      </c>
      <c r="E164">
        <v>2013</v>
      </c>
    </row>
    <row r="165" spans="1:12">
      <c r="A165" t="s">
        <v>315</v>
      </c>
      <c r="B165" t="s">
        <v>316</v>
      </c>
      <c r="D165">
        <v>11643.6641257951</v>
      </c>
      <c r="E165">
        <v>2013</v>
      </c>
    </row>
    <row r="166" spans="1:12">
      <c r="A166" t="s">
        <v>317</v>
      </c>
      <c r="B166" t="s">
        <v>318</v>
      </c>
      <c r="C166" t="s">
        <v>14</v>
      </c>
      <c r="D166">
        <v>1.8358421637035001</v>
      </c>
      <c r="E166">
        <v>2013</v>
      </c>
      <c r="F166">
        <v>2313.2431820000002</v>
      </c>
      <c r="G166">
        <v>1260.04</v>
      </c>
      <c r="H166">
        <v>2009</v>
      </c>
      <c r="I166">
        <v>27758.91819</v>
      </c>
      <c r="J166">
        <v>15120.53636</v>
      </c>
      <c r="K166">
        <v>533.82534980000003</v>
      </c>
      <c r="L166">
        <v>290.77954540000002</v>
      </c>
    </row>
    <row r="167" spans="1:12">
      <c r="A167" t="s">
        <v>319</v>
      </c>
      <c r="B167" t="s">
        <v>320</v>
      </c>
      <c r="D167">
        <v>242.68804914713201</v>
      </c>
      <c r="E167">
        <v>2013</v>
      </c>
    </row>
    <row r="168" spans="1:12">
      <c r="A168" t="s">
        <v>321</v>
      </c>
      <c r="B168" t="s">
        <v>322</v>
      </c>
      <c r="C168" t="s">
        <v>323</v>
      </c>
      <c r="D168">
        <v>49.0875580526777</v>
      </c>
      <c r="E168">
        <v>2013</v>
      </c>
      <c r="F168">
        <v>60708</v>
      </c>
      <c r="G168">
        <v>1236.73</v>
      </c>
      <c r="H168">
        <v>2013</v>
      </c>
      <c r="I168">
        <v>728496</v>
      </c>
      <c r="J168">
        <v>14840.74639</v>
      </c>
      <c r="K168">
        <v>14009.53846</v>
      </c>
      <c r="L168">
        <v>285.39896909999999</v>
      </c>
    </row>
    <row r="169" spans="1:12">
      <c r="A169" t="s">
        <v>324</v>
      </c>
      <c r="B169" t="s">
        <v>325</v>
      </c>
      <c r="C169" t="s">
        <v>14</v>
      </c>
      <c r="D169">
        <v>8.5198729963244997</v>
      </c>
      <c r="E169">
        <v>2013</v>
      </c>
    </row>
    <row r="170" spans="1:12">
      <c r="A170" t="s">
        <v>326</v>
      </c>
      <c r="B170" t="s">
        <v>327</v>
      </c>
      <c r="D170">
        <v>2123.70608513254</v>
      </c>
      <c r="E170">
        <v>2013</v>
      </c>
    </row>
    <row r="171" spans="1:12">
      <c r="A171" t="s">
        <v>328</v>
      </c>
      <c r="B171" t="s">
        <v>329</v>
      </c>
      <c r="C171" t="s">
        <v>31</v>
      </c>
      <c r="D171">
        <v>1.2100854931569001</v>
      </c>
      <c r="E171">
        <v>2013</v>
      </c>
      <c r="F171">
        <v>4622</v>
      </c>
      <c r="G171">
        <v>3819.56</v>
      </c>
      <c r="H171">
        <v>2013</v>
      </c>
      <c r="I171">
        <v>55464</v>
      </c>
      <c r="J171">
        <v>45834.778050000001</v>
      </c>
      <c r="K171">
        <v>1066.6153850000001</v>
      </c>
      <c r="L171">
        <v>881.43803939999998</v>
      </c>
    </row>
    <row r="172" spans="1:12">
      <c r="A172" t="s">
        <v>454</v>
      </c>
      <c r="B172" t="s">
        <v>455</v>
      </c>
    </row>
    <row r="173" spans="1:12">
      <c r="A173" t="s">
        <v>330</v>
      </c>
      <c r="B173" t="s">
        <v>331</v>
      </c>
      <c r="D173">
        <v>0.57264469200000001</v>
      </c>
      <c r="E173">
        <v>2013</v>
      </c>
    </row>
    <row r="174" spans="1:12">
      <c r="A174" t="s">
        <v>332</v>
      </c>
      <c r="B174" t="s">
        <v>333</v>
      </c>
      <c r="D174">
        <v>0.67518016800000002</v>
      </c>
      <c r="E174">
        <v>2013</v>
      </c>
      <c r="F174">
        <v>1523.18</v>
      </c>
      <c r="G174">
        <v>2255.96</v>
      </c>
      <c r="H174">
        <v>2013</v>
      </c>
      <c r="I174">
        <v>18278.16</v>
      </c>
      <c r="J174">
        <v>27071.529740000002</v>
      </c>
      <c r="K174">
        <v>351.5030769</v>
      </c>
      <c r="L174">
        <v>520.60634119999997</v>
      </c>
    </row>
    <row r="175" spans="1:12">
      <c r="A175" t="s">
        <v>334</v>
      </c>
      <c r="B175" t="s">
        <v>335</v>
      </c>
      <c r="C175" t="s">
        <v>31</v>
      </c>
      <c r="D175">
        <v>7.6858928793164001</v>
      </c>
      <c r="E175">
        <v>2013</v>
      </c>
    </row>
    <row r="176" spans="1:12">
      <c r="A176" t="s">
        <v>456</v>
      </c>
      <c r="B176" t="s">
        <v>457</v>
      </c>
      <c r="C176" t="s">
        <v>458</v>
      </c>
    </row>
    <row r="177" spans="1:12">
      <c r="A177" t="s">
        <v>336</v>
      </c>
      <c r="B177" t="s">
        <v>337</v>
      </c>
      <c r="C177" t="s">
        <v>338</v>
      </c>
      <c r="D177">
        <v>5.4523225959637998</v>
      </c>
      <c r="E177">
        <v>2013</v>
      </c>
      <c r="F177">
        <v>14530</v>
      </c>
      <c r="G177">
        <v>2664.92</v>
      </c>
      <c r="H177">
        <v>2013</v>
      </c>
      <c r="I177">
        <v>174360</v>
      </c>
      <c r="J177">
        <v>31979.032230000001</v>
      </c>
      <c r="K177">
        <v>3353.0769230000001</v>
      </c>
      <c r="L177">
        <v>614.98138900000004</v>
      </c>
    </row>
    <row r="178" spans="1:12">
      <c r="A178" t="s">
        <v>459</v>
      </c>
      <c r="B178" t="s">
        <v>460</v>
      </c>
    </row>
    <row r="179" spans="1:12">
      <c r="A179" t="s">
        <v>339</v>
      </c>
      <c r="B179" t="s">
        <v>340</v>
      </c>
      <c r="C179" t="s">
        <v>34</v>
      </c>
      <c r="D179">
        <v>0.76871433899999997</v>
      </c>
      <c r="E179">
        <v>2013</v>
      </c>
      <c r="F179">
        <v>1883.76</v>
      </c>
      <c r="G179">
        <v>2450.5300000000002</v>
      </c>
      <c r="H179">
        <v>2013</v>
      </c>
      <c r="I179">
        <v>22605.119999999999</v>
      </c>
      <c r="J179">
        <v>29406.398260000002</v>
      </c>
      <c r="K179">
        <v>434.71384619999998</v>
      </c>
      <c r="L179">
        <v>565.50765879999994</v>
      </c>
    </row>
    <row r="180" spans="1:12">
      <c r="A180" t="s">
        <v>341</v>
      </c>
      <c r="B180" t="s">
        <v>342</v>
      </c>
      <c r="C180" t="s">
        <v>14</v>
      </c>
      <c r="D180">
        <v>46.870849241613001</v>
      </c>
      <c r="E180">
        <v>2013</v>
      </c>
      <c r="F180">
        <v>15162.952869999999</v>
      </c>
      <c r="G180">
        <v>323.5</v>
      </c>
      <c r="H180">
        <v>2010</v>
      </c>
      <c r="I180">
        <v>181955.4344</v>
      </c>
      <c r="J180">
        <v>3882.0596879999998</v>
      </c>
      <c r="K180">
        <v>3499.142969</v>
      </c>
      <c r="L180">
        <v>74.654994000000002</v>
      </c>
    </row>
    <row r="181" spans="1:12">
      <c r="A181" t="s">
        <v>343</v>
      </c>
      <c r="B181" t="s">
        <v>344</v>
      </c>
      <c r="D181">
        <v>2.1901473963712998</v>
      </c>
      <c r="E181">
        <v>2013</v>
      </c>
    </row>
    <row r="182" spans="1:12">
      <c r="A182" t="s">
        <v>345</v>
      </c>
      <c r="B182" t="s">
        <v>346</v>
      </c>
      <c r="D182">
        <v>2.1832491218743999</v>
      </c>
      <c r="E182">
        <v>2013</v>
      </c>
    </row>
    <row r="183" spans="1:12">
      <c r="A183" t="s">
        <v>461</v>
      </c>
      <c r="B183" t="s">
        <v>462</v>
      </c>
    </row>
    <row r="184" spans="1:12">
      <c r="A184" t="s">
        <v>347</v>
      </c>
      <c r="B184" t="s">
        <v>348</v>
      </c>
      <c r="D184">
        <v>2.0365850083358001</v>
      </c>
      <c r="E184">
        <v>2013</v>
      </c>
    </row>
    <row r="185" spans="1:12">
      <c r="A185" t="s">
        <v>463</v>
      </c>
      <c r="B185" t="s">
        <v>464</v>
      </c>
    </row>
    <row r="186" spans="1:12">
      <c r="A186" t="s">
        <v>349</v>
      </c>
      <c r="B186" t="s">
        <v>350</v>
      </c>
      <c r="C186" t="s">
        <v>31</v>
      </c>
      <c r="D186">
        <v>1.9478257472603999</v>
      </c>
      <c r="E186">
        <v>2013</v>
      </c>
    </row>
    <row r="187" spans="1:12">
      <c r="A187" t="s">
        <v>351</v>
      </c>
      <c r="B187" t="s">
        <v>352</v>
      </c>
      <c r="D187">
        <v>4.4985717452948002</v>
      </c>
      <c r="E187">
        <v>2013</v>
      </c>
    </row>
    <row r="188" spans="1:12">
      <c r="A188" t="s">
        <v>353</v>
      </c>
      <c r="B188" t="s">
        <v>354</v>
      </c>
      <c r="C188" t="s">
        <v>117</v>
      </c>
      <c r="D188">
        <v>9.099352197</v>
      </c>
      <c r="E188">
        <v>2013</v>
      </c>
      <c r="F188">
        <v>30600</v>
      </c>
      <c r="G188">
        <v>3362.88</v>
      </c>
      <c r="H188">
        <v>2013</v>
      </c>
      <c r="I188">
        <v>367200</v>
      </c>
      <c r="J188">
        <v>40354.521070000003</v>
      </c>
      <c r="K188">
        <v>7061.5384620000004</v>
      </c>
      <c r="L188">
        <v>776.04848219999997</v>
      </c>
    </row>
    <row r="189" spans="1:12">
      <c r="A189" t="s">
        <v>355</v>
      </c>
      <c r="B189" t="s">
        <v>356</v>
      </c>
      <c r="C189" t="s">
        <v>357</v>
      </c>
      <c r="D189">
        <v>1.555527173</v>
      </c>
      <c r="E189">
        <v>2013</v>
      </c>
      <c r="F189">
        <v>7030</v>
      </c>
      <c r="G189">
        <v>4519.37</v>
      </c>
      <c r="H189">
        <v>2010</v>
      </c>
      <c r="I189">
        <v>84360</v>
      </c>
      <c r="J189">
        <v>54232.418089999999</v>
      </c>
      <c r="K189">
        <v>1622.3076920000001</v>
      </c>
      <c r="L189">
        <v>1042.9311170000001</v>
      </c>
    </row>
    <row r="190" spans="1:12">
      <c r="A190" t="s">
        <v>465</v>
      </c>
      <c r="B190" t="s">
        <v>466</v>
      </c>
      <c r="F190">
        <v>13844</v>
      </c>
      <c r="H190">
        <v>2011</v>
      </c>
      <c r="I190">
        <v>166128</v>
      </c>
      <c r="K190">
        <v>3194.7692310000002</v>
      </c>
    </row>
    <row r="191" spans="1:12">
      <c r="A191" t="s">
        <v>358</v>
      </c>
      <c r="B191" t="s">
        <v>359</v>
      </c>
      <c r="D191">
        <v>2.0202546735419999</v>
      </c>
      <c r="E191">
        <v>2013</v>
      </c>
      <c r="F191">
        <v>724.56583330000001</v>
      </c>
      <c r="G191">
        <v>358.65</v>
      </c>
      <c r="H191">
        <v>2013</v>
      </c>
      <c r="I191">
        <v>8694.7900000000009</v>
      </c>
      <c r="J191">
        <v>4303.8088779999998</v>
      </c>
      <c r="K191">
        <v>167.20750000000001</v>
      </c>
      <c r="L191">
        <v>82.76555535</v>
      </c>
    </row>
    <row r="192" spans="1:12">
      <c r="A192" t="s">
        <v>360</v>
      </c>
      <c r="B192" t="s">
        <v>361</v>
      </c>
      <c r="D192">
        <v>707.45179049737897</v>
      </c>
      <c r="E192">
        <v>2013</v>
      </c>
    </row>
    <row r="193" spans="1:12">
      <c r="A193" t="s">
        <v>362</v>
      </c>
      <c r="B193" t="s">
        <v>363</v>
      </c>
      <c r="C193" t="s">
        <v>14</v>
      </c>
      <c r="D193">
        <v>13.055364182681</v>
      </c>
      <c r="E193">
        <v>2013</v>
      </c>
      <c r="F193">
        <v>12002.8773</v>
      </c>
      <c r="G193">
        <v>919.38</v>
      </c>
      <c r="H193">
        <v>2013</v>
      </c>
      <c r="I193">
        <v>144034.5276</v>
      </c>
      <c r="J193">
        <v>11032.59362</v>
      </c>
      <c r="K193">
        <v>2769.8947619999999</v>
      </c>
      <c r="L193">
        <v>212.16526200000001</v>
      </c>
    </row>
    <row r="194" spans="1:12">
      <c r="A194" t="s">
        <v>364</v>
      </c>
      <c r="B194" t="s">
        <v>365</v>
      </c>
      <c r="D194">
        <v>0.62617624221040002</v>
      </c>
      <c r="E194">
        <v>2013</v>
      </c>
      <c r="F194">
        <v>174</v>
      </c>
      <c r="G194">
        <v>277.88</v>
      </c>
      <c r="H194">
        <v>2010</v>
      </c>
      <c r="I194">
        <v>2088</v>
      </c>
      <c r="J194">
        <v>3334.5244670000002</v>
      </c>
      <c r="K194">
        <v>40.15384615</v>
      </c>
      <c r="L194">
        <v>64.12547051</v>
      </c>
    </row>
    <row r="195" spans="1:12">
      <c r="A195" t="s">
        <v>366</v>
      </c>
      <c r="B195" t="s">
        <v>367</v>
      </c>
      <c r="D195">
        <v>234.20254886311599</v>
      </c>
      <c r="E195">
        <v>2013</v>
      </c>
    </row>
    <row r="196" spans="1:12">
      <c r="A196" t="s">
        <v>368</v>
      </c>
      <c r="B196" t="s">
        <v>369</v>
      </c>
      <c r="D196">
        <v>1.6129130338808999</v>
      </c>
      <c r="E196">
        <v>2013</v>
      </c>
    </row>
    <row r="197" spans="1:12">
      <c r="A197" t="s">
        <v>370</v>
      </c>
      <c r="B197" t="s">
        <v>371</v>
      </c>
      <c r="D197">
        <v>5.1270633187641002</v>
      </c>
      <c r="E197">
        <v>2013</v>
      </c>
    </row>
    <row r="198" spans="1:12">
      <c r="A198" t="s">
        <v>372</v>
      </c>
      <c r="B198" t="s">
        <v>373</v>
      </c>
      <c r="D198">
        <v>0.75288865011740003</v>
      </c>
      <c r="E198">
        <v>2013</v>
      </c>
    </row>
    <row r="199" spans="1:12">
      <c r="A199" t="s">
        <v>374</v>
      </c>
      <c r="B199" t="s">
        <v>375</v>
      </c>
      <c r="C199">
        <v>0</v>
      </c>
      <c r="D199">
        <v>1.317780723</v>
      </c>
      <c r="E199">
        <v>2013</v>
      </c>
      <c r="F199">
        <v>1512</v>
      </c>
      <c r="G199">
        <v>1147.3800000000001</v>
      </c>
      <c r="H199">
        <v>2010</v>
      </c>
      <c r="I199">
        <v>18144</v>
      </c>
      <c r="J199">
        <v>13768.603289999999</v>
      </c>
      <c r="K199">
        <v>348.92307690000001</v>
      </c>
      <c r="L199">
        <v>264.78083249999997</v>
      </c>
    </row>
    <row r="200" spans="1:12">
      <c r="A200" t="s">
        <v>467</v>
      </c>
      <c r="B200" t="s">
        <v>468</v>
      </c>
      <c r="F200">
        <v>1047.174</v>
      </c>
      <c r="H200">
        <v>2013</v>
      </c>
      <c r="I200">
        <v>12566.088</v>
      </c>
      <c r="K200">
        <v>241.65553850000001</v>
      </c>
    </row>
    <row r="201" spans="1:12">
      <c r="A201" t="s">
        <v>469</v>
      </c>
      <c r="B201" t="s">
        <v>470</v>
      </c>
    </row>
    <row r="202" spans="1:12">
      <c r="A202" t="s">
        <v>471</v>
      </c>
      <c r="B202" t="s">
        <v>472</v>
      </c>
      <c r="C202" t="s">
        <v>31</v>
      </c>
    </row>
    <row r="203" spans="1:12">
      <c r="A203" t="s">
        <v>376</v>
      </c>
      <c r="B203" t="s">
        <v>377</v>
      </c>
      <c r="D203">
        <v>1099.41281403116</v>
      </c>
      <c r="E203">
        <v>2013</v>
      </c>
      <c r="F203">
        <v>459639</v>
      </c>
      <c r="G203">
        <v>418.08</v>
      </c>
      <c r="H203">
        <v>2012</v>
      </c>
      <c r="I203">
        <v>5515668</v>
      </c>
      <c r="J203">
        <v>5016.9216960000003</v>
      </c>
      <c r="K203">
        <v>106070.5385</v>
      </c>
      <c r="L203">
        <v>96.47926339</v>
      </c>
    </row>
    <row r="204" spans="1:12">
      <c r="A204" t="s">
        <v>378</v>
      </c>
      <c r="B204" t="s">
        <v>379</v>
      </c>
      <c r="C204" t="s">
        <v>14</v>
      </c>
      <c r="D204">
        <v>3.2061470546989002</v>
      </c>
      <c r="E204">
        <v>2013</v>
      </c>
      <c r="F204">
        <v>3265</v>
      </c>
      <c r="G204">
        <v>1018.36</v>
      </c>
      <c r="H204">
        <v>2013</v>
      </c>
      <c r="I204">
        <v>39180</v>
      </c>
      <c r="J204">
        <v>12220.27541</v>
      </c>
      <c r="K204">
        <v>753.46153849999996</v>
      </c>
      <c r="L204">
        <v>235.0052963</v>
      </c>
    </row>
    <row r="205" spans="1:12">
      <c r="A205" t="s">
        <v>473</v>
      </c>
      <c r="B205" t="s">
        <v>474</v>
      </c>
      <c r="D205">
        <v>2.7182156686495</v>
      </c>
      <c r="E205">
        <v>2011</v>
      </c>
      <c r="F205">
        <v>4758.3333329999996</v>
      </c>
      <c r="G205">
        <v>1750.54</v>
      </c>
      <c r="H205">
        <v>2008</v>
      </c>
      <c r="I205">
        <v>57100</v>
      </c>
      <c r="J205">
        <v>21006.427360000001</v>
      </c>
      <c r="K205">
        <v>1098.0769230000001</v>
      </c>
      <c r="L205">
        <v>403.96975700000002</v>
      </c>
    </row>
    <row r="206" spans="1:12">
      <c r="A206" t="s">
        <v>380</v>
      </c>
      <c r="B206" t="s">
        <v>381</v>
      </c>
      <c r="C206" t="s">
        <v>382</v>
      </c>
      <c r="D206">
        <v>0.78142254799999999</v>
      </c>
      <c r="E206">
        <v>2013</v>
      </c>
      <c r="F206">
        <v>2176.1999999999998</v>
      </c>
      <c r="G206">
        <v>2784.92</v>
      </c>
      <c r="H206">
        <v>2013</v>
      </c>
      <c r="I206">
        <v>26114.400000000001</v>
      </c>
      <c r="J206">
        <v>33419.051019999999</v>
      </c>
      <c r="K206">
        <v>502.2</v>
      </c>
      <c r="L206">
        <v>642.67405810000002</v>
      </c>
    </row>
    <row r="207" spans="1:12">
      <c r="A207" t="s">
        <v>383</v>
      </c>
      <c r="B207" t="s">
        <v>384</v>
      </c>
      <c r="C207" t="s">
        <v>31</v>
      </c>
      <c r="D207">
        <v>1</v>
      </c>
      <c r="E207">
        <v>2013</v>
      </c>
      <c r="F207">
        <v>3580.5466670000001</v>
      </c>
      <c r="G207">
        <v>3580.55</v>
      </c>
      <c r="H207">
        <v>2013</v>
      </c>
      <c r="I207">
        <v>42966.559999999998</v>
      </c>
      <c r="J207">
        <v>42966.559999999998</v>
      </c>
      <c r="K207">
        <v>826.28</v>
      </c>
      <c r="L207">
        <v>826.28</v>
      </c>
    </row>
    <row r="208" spans="1:12">
      <c r="A208" t="s">
        <v>385</v>
      </c>
      <c r="B208" t="s">
        <v>386</v>
      </c>
      <c r="C208" t="s">
        <v>387</v>
      </c>
      <c r="D208">
        <v>18.612779646662499</v>
      </c>
      <c r="E208">
        <v>2013</v>
      </c>
      <c r="F208">
        <v>18192.1276</v>
      </c>
      <c r="G208">
        <v>977.4</v>
      </c>
      <c r="H208">
        <v>2012</v>
      </c>
      <c r="I208">
        <v>218305.5312</v>
      </c>
      <c r="J208">
        <v>11728.797920000001</v>
      </c>
      <c r="K208">
        <v>4198.1832919999997</v>
      </c>
      <c r="L208">
        <v>225.5538061</v>
      </c>
    </row>
    <row r="209" spans="1:12">
      <c r="A209" t="s">
        <v>475</v>
      </c>
      <c r="B209" t="s">
        <v>476</v>
      </c>
      <c r="C209" t="s">
        <v>73</v>
      </c>
      <c r="F209">
        <v>1056800</v>
      </c>
      <c r="H209">
        <v>2012</v>
      </c>
      <c r="I209">
        <v>12681600</v>
      </c>
      <c r="K209">
        <v>243876.92310000001</v>
      </c>
    </row>
    <row r="210" spans="1:12">
      <c r="A210" t="s">
        <v>388</v>
      </c>
      <c r="B210" t="s">
        <v>389</v>
      </c>
      <c r="D210">
        <v>115.005094837546</v>
      </c>
      <c r="E210">
        <v>2013</v>
      </c>
    </row>
    <row r="211" spans="1:12">
      <c r="A211" t="s">
        <v>390</v>
      </c>
      <c r="B211" t="s">
        <v>391</v>
      </c>
      <c r="D211">
        <v>4.7925708226293002</v>
      </c>
      <c r="E211">
        <v>2013</v>
      </c>
    </row>
    <row r="212" spans="1:12">
      <c r="A212" t="s">
        <v>392</v>
      </c>
      <c r="B212" t="s">
        <v>393</v>
      </c>
      <c r="C212" t="s">
        <v>14</v>
      </c>
      <c r="D212">
        <v>8561.5987368318802</v>
      </c>
      <c r="E212">
        <v>2013</v>
      </c>
    </row>
    <row r="213" spans="1:12">
      <c r="A213" t="s">
        <v>477</v>
      </c>
      <c r="B213" t="s">
        <v>478</v>
      </c>
    </row>
    <row r="214" spans="1:12">
      <c r="A214" t="s">
        <v>479</v>
      </c>
      <c r="B214" t="s">
        <v>480</v>
      </c>
    </row>
    <row r="215" spans="1:12">
      <c r="A215" t="s">
        <v>394</v>
      </c>
      <c r="B215" t="s">
        <v>395</v>
      </c>
      <c r="D215">
        <v>108.91531456266701</v>
      </c>
      <c r="E215">
        <v>2013</v>
      </c>
    </row>
    <row r="216" spans="1:12">
      <c r="A216" t="s">
        <v>396</v>
      </c>
      <c r="B216" t="s">
        <v>397</v>
      </c>
      <c r="D216">
        <v>2.7580878629277001</v>
      </c>
      <c r="E216">
        <v>2013</v>
      </c>
      <c r="F216">
        <v>824.41499999999996</v>
      </c>
      <c r="G216">
        <v>298.91000000000003</v>
      </c>
      <c r="H216">
        <v>2008</v>
      </c>
      <c r="I216">
        <v>9892.98</v>
      </c>
      <c r="J216">
        <v>3586.8980580000002</v>
      </c>
      <c r="K216">
        <v>190.24961540000001</v>
      </c>
      <c r="L216">
        <v>68.978808810000004</v>
      </c>
    </row>
    <row r="217" spans="1:12">
      <c r="A217" t="s">
        <v>481</v>
      </c>
      <c r="B217" t="s">
        <v>482</v>
      </c>
      <c r="C217" t="s">
        <v>483</v>
      </c>
      <c r="F217">
        <v>589.10680930000001</v>
      </c>
      <c r="H217">
        <v>2012</v>
      </c>
      <c r="I217">
        <v>7069.281712</v>
      </c>
      <c r="K217">
        <v>135.94772520000001</v>
      </c>
    </row>
  </sheetData>
  <sortState ref="A2:L217">
    <sortCondition ref="A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28"/>
  <sheetViews>
    <sheetView workbookViewId="0">
      <selection activeCell="F6" sqref="F6"/>
    </sheetView>
  </sheetViews>
  <sheetFormatPr baseColWidth="10" defaultColWidth="8.83203125" defaultRowHeight="12" x14ac:dyDescent="0"/>
  <cols>
    <col min="1" max="1" width="31.5" customWidth="1"/>
    <col min="6" max="6" width="14" bestFit="1" customWidth="1"/>
    <col min="7" max="7" width="13.83203125" customWidth="1"/>
    <col min="8" max="8" width="19.5" customWidth="1"/>
    <col min="9" max="9" width="14" customWidth="1"/>
    <col min="10" max="10" width="15.6640625" customWidth="1"/>
    <col min="12" max="12" width="12.83203125" customWidth="1"/>
    <col min="14" max="14" width="22.33203125" bestFit="1" customWidth="1"/>
    <col min="15" max="15" width="14.33203125" bestFit="1" customWidth="1"/>
    <col min="16" max="16" width="32.33203125" customWidth="1"/>
  </cols>
  <sheetData>
    <row r="1" spans="1:16">
      <c r="A1" s="4" t="s">
        <v>488</v>
      </c>
      <c r="B1" s="4" t="s">
        <v>489</v>
      </c>
      <c r="C1" s="4" t="s">
        <v>490</v>
      </c>
      <c r="D1" s="4" t="s">
        <v>491</v>
      </c>
      <c r="E1" s="4" t="s">
        <v>492</v>
      </c>
      <c r="F1" s="4" t="s">
        <v>493</v>
      </c>
      <c r="G1" s="4" t="s">
        <v>494</v>
      </c>
      <c r="H1" s="4" t="s">
        <v>495</v>
      </c>
      <c r="I1" s="4" t="s">
        <v>496</v>
      </c>
      <c r="J1" s="4" t="s">
        <v>497</v>
      </c>
      <c r="K1" s="4" t="s">
        <v>2</v>
      </c>
      <c r="L1" s="4" t="s">
        <v>498</v>
      </c>
      <c r="M1" s="4"/>
      <c r="N1" s="4" t="s">
        <v>499</v>
      </c>
      <c r="O1" s="4" t="s">
        <v>500</v>
      </c>
      <c r="P1" s="4" t="s">
        <v>577</v>
      </c>
    </row>
    <row r="2" spans="1:16" ht="14">
      <c r="A2" s="2" t="s">
        <v>581</v>
      </c>
      <c r="B2" s="2" t="s">
        <v>582</v>
      </c>
      <c r="C2" s="2" t="s">
        <v>558</v>
      </c>
      <c r="D2" s="2" t="s">
        <v>583</v>
      </c>
      <c r="E2" s="2" t="s">
        <v>384</v>
      </c>
      <c r="F2" s="2">
        <v>1</v>
      </c>
      <c r="G2" s="2">
        <f>I2/52</f>
        <v>5433.9230769230771</v>
      </c>
      <c r="H2" s="2">
        <f>J2/52</f>
        <v>5433.9230769230771</v>
      </c>
      <c r="I2" s="3">
        <v>282564</v>
      </c>
      <c r="J2" s="3">
        <v>282564</v>
      </c>
      <c r="K2" s="2" t="s">
        <v>31</v>
      </c>
      <c r="L2" s="2">
        <f>J2/12</f>
        <v>23547</v>
      </c>
      <c r="M2" s="2">
        <f>J2/12</f>
        <v>23547</v>
      </c>
      <c r="N2" s="2"/>
      <c r="O2" s="2"/>
      <c r="P2" s="2"/>
    </row>
    <row r="3" spans="1:16">
      <c r="A3" s="2" t="s">
        <v>512</v>
      </c>
      <c r="B3" s="2" t="s">
        <v>513</v>
      </c>
      <c r="C3" s="2" t="s">
        <v>514</v>
      </c>
      <c r="D3" s="2" t="s">
        <v>504</v>
      </c>
      <c r="E3" s="2" t="s">
        <v>505</v>
      </c>
      <c r="F3" s="2">
        <v>0.78142254799999999</v>
      </c>
      <c r="G3" s="2">
        <v>140000</v>
      </c>
      <c r="H3" s="2">
        <v>179160.43040000001</v>
      </c>
      <c r="I3">
        <v>7280000</v>
      </c>
      <c r="J3" s="2">
        <v>9316342.3792065959</v>
      </c>
      <c r="K3" s="2" t="s">
        <v>382</v>
      </c>
      <c r="L3" s="2">
        <v>600000</v>
      </c>
      <c r="M3" s="2">
        <v>767830.41590000002</v>
      </c>
      <c r="N3" s="2">
        <v>66</v>
      </c>
      <c r="O3" s="2">
        <v>84.461345750000007</v>
      </c>
      <c r="P3" s="2">
        <v>7300000</v>
      </c>
    </row>
    <row r="4" spans="1:16">
      <c r="A4" s="2" t="s">
        <v>510</v>
      </c>
      <c r="B4" s="2" t="s">
        <v>508</v>
      </c>
      <c r="C4" s="2" t="s">
        <v>511</v>
      </c>
      <c r="D4" s="2" t="s">
        <v>504</v>
      </c>
      <c r="E4" s="2" t="s">
        <v>505</v>
      </c>
      <c r="F4" s="2">
        <v>0.78142254799999999</v>
      </c>
      <c r="G4" s="2">
        <v>280000</v>
      </c>
      <c r="H4" s="2">
        <v>358320.86070000002</v>
      </c>
      <c r="I4" s="2">
        <v>14560000</v>
      </c>
      <c r="J4" s="2">
        <v>18632684.758413192</v>
      </c>
      <c r="K4" s="2" t="s">
        <v>382</v>
      </c>
      <c r="L4" s="2">
        <v>1208333</v>
      </c>
      <c r="M4" s="2">
        <v>1546324.716</v>
      </c>
      <c r="N4" s="2">
        <v>66.95</v>
      </c>
      <c r="O4" s="2">
        <v>85.677077240000003</v>
      </c>
      <c r="P4" s="2">
        <v>14600000</v>
      </c>
    </row>
    <row r="5" spans="1:16">
      <c r="A5" s="2" t="s">
        <v>554</v>
      </c>
      <c r="B5" s="2" t="s">
        <v>532</v>
      </c>
      <c r="C5" s="2" t="s">
        <v>555</v>
      </c>
      <c r="D5" s="2" t="s">
        <v>533</v>
      </c>
      <c r="E5" s="2" t="s">
        <v>149</v>
      </c>
      <c r="F5" s="2">
        <v>0.82283660800000002</v>
      </c>
      <c r="G5" s="2">
        <v>155000</v>
      </c>
      <c r="H5" s="2">
        <v>188372.75649999999</v>
      </c>
      <c r="I5" s="2">
        <v>8060000</v>
      </c>
      <c r="J5" s="2">
        <v>9795383.3381219711</v>
      </c>
      <c r="K5" s="2" t="s">
        <v>34</v>
      </c>
      <c r="L5" s="2">
        <v>666667</v>
      </c>
      <c r="M5" s="2">
        <v>810205.80940000003</v>
      </c>
      <c r="N5" s="2">
        <v>69.95</v>
      </c>
      <c r="O5" s="2">
        <v>85.010802049999995</v>
      </c>
      <c r="P5" s="2">
        <v>8100000</v>
      </c>
    </row>
    <row r="6" spans="1:16">
      <c r="A6" s="2" t="s">
        <v>578</v>
      </c>
      <c r="B6" s="2" t="s">
        <v>579</v>
      </c>
      <c r="C6" s="2" t="s">
        <v>509</v>
      </c>
      <c r="D6" s="2" t="s">
        <v>580</v>
      </c>
      <c r="E6" s="2" t="s">
        <v>505</v>
      </c>
      <c r="F6" s="2">
        <v>0.78142254799999999</v>
      </c>
      <c r="G6" s="2">
        <f>I6/52</f>
        <v>480.76923076923077</v>
      </c>
      <c r="H6" s="2">
        <f>G6/F6</f>
        <v>615.24873066400278</v>
      </c>
      <c r="I6" s="2">
        <v>25000</v>
      </c>
      <c r="J6" s="2">
        <f>I6/F6</f>
        <v>31992.933994528143</v>
      </c>
      <c r="K6" s="2" t="s">
        <v>382</v>
      </c>
      <c r="L6" s="2">
        <f>I6/12</f>
        <v>2083.3333333333335</v>
      </c>
      <c r="M6" s="2">
        <f>L6/F26</f>
        <v>2666.0778328773454</v>
      </c>
      <c r="N6" s="2"/>
      <c r="O6" s="2"/>
      <c r="P6" s="2"/>
    </row>
    <row r="7" spans="1:16">
      <c r="A7" s="2" t="s">
        <v>526</v>
      </c>
      <c r="B7" s="2" t="s">
        <v>502</v>
      </c>
      <c r="C7" s="2" t="s">
        <v>527</v>
      </c>
      <c r="D7" s="2" t="s">
        <v>504</v>
      </c>
      <c r="E7" s="2" t="s">
        <v>505</v>
      </c>
      <c r="F7" s="2">
        <v>0.78142254799999999</v>
      </c>
      <c r="G7" s="2">
        <v>200000</v>
      </c>
      <c r="H7" s="2">
        <v>255943.47200000001</v>
      </c>
      <c r="I7" s="2">
        <v>10400000</v>
      </c>
      <c r="J7" s="2">
        <v>13309060.541723708</v>
      </c>
      <c r="K7" s="2" t="s">
        <v>382</v>
      </c>
      <c r="L7" s="2">
        <v>833333</v>
      </c>
      <c r="M7" s="2">
        <v>1066430.7069999999</v>
      </c>
      <c r="N7" s="2">
        <v>66.95</v>
      </c>
      <c r="O7" s="2">
        <v>85.677077240000003</v>
      </c>
      <c r="P7" s="2">
        <v>10400000</v>
      </c>
    </row>
    <row r="8" spans="1:16">
      <c r="A8" s="2" t="s">
        <v>537</v>
      </c>
      <c r="B8" s="2" t="s">
        <v>538</v>
      </c>
      <c r="C8" s="2" t="s">
        <v>503</v>
      </c>
      <c r="D8" s="2" t="s">
        <v>536</v>
      </c>
      <c r="E8" s="2" t="s">
        <v>339</v>
      </c>
      <c r="F8" s="2">
        <v>0.76871433899999997</v>
      </c>
      <c r="G8" s="2">
        <v>350000</v>
      </c>
      <c r="H8" s="2">
        <v>455305.67369999998</v>
      </c>
      <c r="I8" s="2">
        <v>18200000</v>
      </c>
      <c r="J8" s="2">
        <v>23675895.032315768</v>
      </c>
      <c r="K8" s="2" t="s">
        <v>34</v>
      </c>
      <c r="L8" s="2">
        <v>1525000</v>
      </c>
      <c r="M8" s="2">
        <v>1983831.8640000001</v>
      </c>
      <c r="N8" s="2">
        <v>92.75</v>
      </c>
      <c r="O8" s="2">
        <v>120.6560035</v>
      </c>
      <c r="P8" s="2">
        <v>18300000</v>
      </c>
    </row>
    <row r="9" spans="1:16">
      <c r="A9" s="2" t="s">
        <v>556</v>
      </c>
      <c r="B9" s="2" t="s">
        <v>557</v>
      </c>
      <c r="C9" s="2" t="s">
        <v>558</v>
      </c>
      <c r="D9" s="2" t="s">
        <v>559</v>
      </c>
      <c r="E9" s="2" t="s">
        <v>384</v>
      </c>
      <c r="F9" s="2">
        <v>1</v>
      </c>
      <c r="G9" s="2">
        <v>130000</v>
      </c>
      <c r="H9" s="2">
        <v>130000</v>
      </c>
      <c r="I9" s="2">
        <v>6760000</v>
      </c>
      <c r="J9" s="2">
        <v>6760000</v>
      </c>
      <c r="K9" s="2" t="s">
        <v>31</v>
      </c>
      <c r="L9" s="2">
        <v>558000</v>
      </c>
      <c r="M9" s="2">
        <v>558000</v>
      </c>
      <c r="N9" s="2">
        <v>114.95</v>
      </c>
      <c r="O9" s="2">
        <v>114.95</v>
      </c>
      <c r="P9" s="1">
        <v>6700000</v>
      </c>
    </row>
    <row r="10" spans="1:16">
      <c r="A10" s="2" t="s">
        <v>506</v>
      </c>
      <c r="B10" s="2" t="s">
        <v>502</v>
      </c>
      <c r="C10" s="2" t="s">
        <v>507</v>
      </c>
      <c r="D10" s="2" t="s">
        <v>504</v>
      </c>
      <c r="E10" s="2" t="s">
        <v>505</v>
      </c>
      <c r="F10" s="2">
        <v>0.78142254799999999</v>
      </c>
      <c r="G10" s="2">
        <v>200000</v>
      </c>
      <c r="H10" s="2">
        <v>255943.47200000001</v>
      </c>
      <c r="I10" s="2">
        <v>10400000</v>
      </c>
      <c r="J10" s="2">
        <v>13309060.541723708</v>
      </c>
      <c r="K10" s="2" t="s">
        <v>382</v>
      </c>
      <c r="L10" s="2">
        <v>833333</v>
      </c>
      <c r="M10" s="2">
        <v>1066430.7069999999</v>
      </c>
      <c r="N10" s="2">
        <v>66.95</v>
      </c>
      <c r="O10" s="2">
        <v>85.677077240000003</v>
      </c>
      <c r="P10" s="2">
        <v>10500000</v>
      </c>
    </row>
    <row r="11" spans="1:16">
      <c r="A11" s="2" t="s">
        <v>553</v>
      </c>
      <c r="B11" s="2" t="s">
        <v>547</v>
      </c>
      <c r="C11" s="2" t="s">
        <v>545</v>
      </c>
      <c r="D11" s="2" t="s">
        <v>549</v>
      </c>
      <c r="E11" s="2" t="s">
        <v>141</v>
      </c>
      <c r="F11" s="2">
        <v>0.884011989</v>
      </c>
      <c r="G11" s="2">
        <v>195000</v>
      </c>
      <c r="H11" s="2">
        <v>220585.24369999999</v>
      </c>
      <c r="I11" s="2">
        <v>10140000</v>
      </c>
      <c r="J11" s="2">
        <v>11470432.670794921</v>
      </c>
      <c r="K11" s="2" t="s">
        <v>34</v>
      </c>
      <c r="L11" s="2">
        <v>850000</v>
      </c>
      <c r="M11" s="2">
        <v>961525.42110000004</v>
      </c>
      <c r="N11" s="2">
        <v>135</v>
      </c>
      <c r="O11" s="2">
        <v>152.712861</v>
      </c>
      <c r="P11" s="2">
        <v>10100000</v>
      </c>
    </row>
    <row r="12" spans="1:16">
      <c r="A12" s="2" t="s">
        <v>539</v>
      </c>
      <c r="B12" s="2" t="s">
        <v>538</v>
      </c>
      <c r="C12" s="2" t="s">
        <v>540</v>
      </c>
      <c r="D12" s="2" t="s">
        <v>536</v>
      </c>
      <c r="E12" s="2" t="s">
        <v>339</v>
      </c>
      <c r="F12" s="2">
        <v>0.76871433899999997</v>
      </c>
      <c r="G12" s="2">
        <v>385000</v>
      </c>
      <c r="H12" s="2">
        <v>500836.24109999998</v>
      </c>
      <c r="I12" s="2">
        <v>20020000</v>
      </c>
      <c r="J12" s="2">
        <v>26043484.535547346</v>
      </c>
      <c r="K12" s="2" t="s">
        <v>34</v>
      </c>
      <c r="L12" s="2">
        <v>1666667</v>
      </c>
      <c r="M12" s="2">
        <v>2168122.6889999998</v>
      </c>
      <c r="N12" s="2">
        <v>92.75</v>
      </c>
      <c r="O12" s="2">
        <v>120.6560035</v>
      </c>
      <c r="P12" s="2">
        <v>20000000</v>
      </c>
    </row>
    <row r="13" spans="1:16">
      <c r="A13" s="2" t="s">
        <v>550</v>
      </c>
      <c r="B13" s="2" t="s">
        <v>551</v>
      </c>
      <c r="C13" s="2" t="s">
        <v>523</v>
      </c>
      <c r="D13" s="2" t="s">
        <v>552</v>
      </c>
      <c r="E13" s="2" t="s">
        <v>192</v>
      </c>
      <c r="F13" s="2">
        <v>0.83676677700000002</v>
      </c>
      <c r="G13" s="2">
        <v>260000</v>
      </c>
      <c r="H13" s="2">
        <v>310719.79330000002</v>
      </c>
      <c r="I13" s="2">
        <v>13520000</v>
      </c>
      <c r="J13" s="2">
        <v>16157429.25223715</v>
      </c>
      <c r="K13" s="2" t="s">
        <v>34</v>
      </c>
      <c r="L13" s="2">
        <v>1133333</v>
      </c>
      <c r="M13" s="2">
        <v>1354419.2139999999</v>
      </c>
      <c r="N13" s="2">
        <v>105</v>
      </c>
      <c r="O13" s="2">
        <v>125.48299350000001</v>
      </c>
      <c r="P13" s="2">
        <v>13500000</v>
      </c>
    </row>
    <row r="14" spans="1:16">
      <c r="A14" s="2" t="s">
        <v>541</v>
      </c>
      <c r="B14" s="2" t="s">
        <v>538</v>
      </c>
      <c r="C14" s="2" t="s">
        <v>525</v>
      </c>
      <c r="D14" s="2" t="s">
        <v>536</v>
      </c>
      <c r="E14" s="2" t="s">
        <v>339</v>
      </c>
      <c r="F14" s="2">
        <v>0.76871433899999997</v>
      </c>
      <c r="G14" s="2">
        <v>147000</v>
      </c>
      <c r="H14" s="2">
        <v>191228.383</v>
      </c>
      <c r="I14" s="2">
        <v>7644000</v>
      </c>
      <c r="J14" s="2">
        <v>9943875.9135726225</v>
      </c>
      <c r="K14" s="2" t="s">
        <v>34</v>
      </c>
      <c r="L14" s="2">
        <v>641667</v>
      </c>
      <c r="M14" s="2">
        <v>834727.50210000004</v>
      </c>
      <c r="N14" s="2">
        <v>92.75</v>
      </c>
      <c r="O14" s="2">
        <v>120.6560035</v>
      </c>
      <c r="P14" s="2">
        <v>7700000</v>
      </c>
    </row>
    <row r="15" spans="1:16">
      <c r="A15" s="2" t="s">
        <v>501</v>
      </c>
      <c r="B15" s="2" t="s">
        <v>502</v>
      </c>
      <c r="C15" s="2" t="s">
        <v>503</v>
      </c>
      <c r="D15" s="2" t="s">
        <v>504</v>
      </c>
      <c r="E15" s="2" t="s">
        <v>505</v>
      </c>
      <c r="F15" s="2">
        <v>0.78142254799999999</v>
      </c>
      <c r="G15" s="2">
        <v>163000</v>
      </c>
      <c r="H15" s="2">
        <v>208593.9296</v>
      </c>
      <c r="I15" s="2">
        <v>8476000</v>
      </c>
      <c r="J15" s="2">
        <v>10846884.341504822</v>
      </c>
      <c r="K15" s="2" t="s">
        <v>382</v>
      </c>
      <c r="L15" s="2">
        <v>708333</v>
      </c>
      <c r="M15" s="2">
        <v>906466.03659999999</v>
      </c>
      <c r="N15" s="2">
        <v>80</v>
      </c>
      <c r="O15" s="2">
        <v>102.37738880000001</v>
      </c>
      <c r="P15" s="2">
        <v>8500000</v>
      </c>
    </row>
    <row r="16" spans="1:16">
      <c r="A16" s="2" t="s">
        <v>534</v>
      </c>
      <c r="B16" s="2" t="s">
        <v>535</v>
      </c>
      <c r="C16" s="2" t="s">
        <v>511</v>
      </c>
      <c r="D16" s="2" t="s">
        <v>536</v>
      </c>
      <c r="E16" s="2" t="s">
        <v>339</v>
      </c>
      <c r="F16" s="2">
        <v>0.76871433899999997</v>
      </c>
      <c r="G16" s="2">
        <v>400000</v>
      </c>
      <c r="H16" s="2">
        <v>520349.34139999998</v>
      </c>
      <c r="I16" s="2">
        <v>20800000</v>
      </c>
      <c r="J16" s="2">
        <v>27058165.751218025</v>
      </c>
      <c r="K16" s="2" t="s">
        <v>34</v>
      </c>
      <c r="L16" s="2">
        <v>1733333</v>
      </c>
      <c r="M16" s="2">
        <v>2254846.7119999998</v>
      </c>
      <c r="N16" s="2">
        <v>135</v>
      </c>
      <c r="O16" s="2">
        <v>175.6179027</v>
      </c>
      <c r="P16" s="2">
        <v>20800000</v>
      </c>
    </row>
    <row r="17" spans="1:17">
      <c r="A17" s="2" t="s">
        <v>544</v>
      </c>
      <c r="B17" s="2" t="s">
        <v>535</v>
      </c>
      <c r="C17" s="2" t="s">
        <v>545</v>
      </c>
      <c r="D17" s="2" t="s">
        <v>536</v>
      </c>
      <c r="E17" s="2" t="s">
        <v>339</v>
      </c>
      <c r="F17" s="2">
        <v>0.76871433899999997</v>
      </c>
      <c r="G17" s="2">
        <v>255000</v>
      </c>
      <c r="H17" s="2">
        <v>331722.70510000002</v>
      </c>
      <c r="I17" s="2">
        <v>13260000</v>
      </c>
      <c r="J17" s="2">
        <v>17249580.666401491</v>
      </c>
      <c r="K17" s="2" t="s">
        <v>34</v>
      </c>
      <c r="L17" s="2">
        <v>1066667</v>
      </c>
      <c r="M17" s="2">
        <v>1387598.6769999999</v>
      </c>
      <c r="N17" s="2">
        <v>135</v>
      </c>
      <c r="O17" s="2">
        <v>175.6179027</v>
      </c>
      <c r="P17" s="2">
        <v>13300000</v>
      </c>
    </row>
    <row r="18" spans="1:17">
      <c r="A18" s="2" t="s">
        <v>521</v>
      </c>
      <c r="B18" s="2" t="s">
        <v>522</v>
      </c>
      <c r="C18" s="2" t="s">
        <v>523</v>
      </c>
      <c r="D18" s="2" t="s">
        <v>504</v>
      </c>
      <c r="E18" s="2" t="s">
        <v>505</v>
      </c>
      <c r="F18" s="2">
        <v>0.78142254799999999</v>
      </c>
      <c r="G18" s="2">
        <v>80000</v>
      </c>
      <c r="H18" s="2">
        <v>102377.3888</v>
      </c>
      <c r="I18" s="2">
        <v>4160000</v>
      </c>
      <c r="J18" s="2">
        <v>5323624.2166894833</v>
      </c>
      <c r="K18" s="2" t="s">
        <v>382</v>
      </c>
      <c r="L18" s="2">
        <v>341667</v>
      </c>
      <c r="M18" s="2">
        <v>437237.1912</v>
      </c>
      <c r="N18" s="2">
        <v>64.989999999999995</v>
      </c>
      <c r="O18" s="2">
        <v>83.168831209999993</v>
      </c>
      <c r="P18" s="2">
        <v>4100000</v>
      </c>
    </row>
    <row r="19" spans="1:17">
      <c r="A19" s="2" t="s">
        <v>515</v>
      </c>
      <c r="B19" s="2" t="s">
        <v>513</v>
      </c>
      <c r="C19" s="2" t="s">
        <v>516</v>
      </c>
      <c r="D19" s="2" t="s">
        <v>504</v>
      </c>
      <c r="E19" s="2" t="s">
        <v>505</v>
      </c>
      <c r="F19" s="2">
        <v>0.78142254799999999</v>
      </c>
      <c r="G19" s="2">
        <v>153000</v>
      </c>
      <c r="H19" s="2">
        <v>195796.75599999999</v>
      </c>
      <c r="I19" s="2">
        <v>7956000</v>
      </c>
      <c r="J19" s="2">
        <v>10181431.314418636</v>
      </c>
      <c r="K19" s="2" t="s">
        <v>382</v>
      </c>
      <c r="L19" s="2">
        <v>666667</v>
      </c>
      <c r="M19" s="2">
        <v>853145.33310000005</v>
      </c>
      <c r="N19" s="2">
        <v>66</v>
      </c>
      <c r="O19" s="2">
        <v>84.461345750000007</v>
      </c>
      <c r="P19" s="2">
        <v>8000000</v>
      </c>
    </row>
    <row r="20" spans="1:17">
      <c r="A20" s="2" t="s">
        <v>542</v>
      </c>
      <c r="B20" s="2" t="s">
        <v>535</v>
      </c>
      <c r="C20" s="2" t="s">
        <v>543</v>
      </c>
      <c r="D20" s="2" t="s">
        <v>536</v>
      </c>
      <c r="E20" s="2" t="s">
        <v>339</v>
      </c>
      <c r="F20" s="2">
        <v>0.76871433899999997</v>
      </c>
      <c r="G20" s="2">
        <v>275000</v>
      </c>
      <c r="H20" s="2">
        <v>357740.17219999997</v>
      </c>
      <c r="I20" s="2">
        <v>14300000</v>
      </c>
      <c r="J20" s="2">
        <v>18602488.953962389</v>
      </c>
      <c r="K20" s="2" t="s">
        <v>34</v>
      </c>
      <c r="L20" s="2">
        <v>1191667</v>
      </c>
      <c r="M20" s="2">
        <v>1550207.8459999999</v>
      </c>
      <c r="N20" s="2">
        <v>135</v>
      </c>
      <c r="O20" s="2">
        <v>175.6179027</v>
      </c>
      <c r="P20" s="2">
        <v>14300000</v>
      </c>
    </row>
    <row r="21" spans="1:17">
      <c r="A21" s="2" t="s">
        <v>531</v>
      </c>
      <c r="B21" s="2" t="s">
        <v>532</v>
      </c>
      <c r="C21" s="2" t="s">
        <v>527</v>
      </c>
      <c r="D21" s="2" t="s">
        <v>533</v>
      </c>
      <c r="E21" s="2" t="s">
        <v>149</v>
      </c>
      <c r="F21" s="2">
        <v>0.82283660800000002</v>
      </c>
      <c r="G21" s="2">
        <v>355000</v>
      </c>
      <c r="H21" s="2">
        <v>431434.37780000002</v>
      </c>
      <c r="I21" s="2">
        <v>18460000</v>
      </c>
      <c r="J21" s="2">
        <v>22434587.645376127</v>
      </c>
      <c r="K21" s="2" t="s">
        <v>34</v>
      </c>
      <c r="L21" s="2">
        <v>1541667</v>
      </c>
      <c r="M21" s="2">
        <v>1873600.4029999999</v>
      </c>
      <c r="N21" s="2">
        <v>89.95</v>
      </c>
      <c r="O21" s="2">
        <v>109.3169642</v>
      </c>
      <c r="P21" s="2">
        <v>18500000</v>
      </c>
    </row>
    <row r="22" spans="1:17">
      <c r="A22" s="2" t="s">
        <v>524</v>
      </c>
      <c r="B22" s="2" t="s">
        <v>508</v>
      </c>
      <c r="C22" s="2" t="s">
        <v>525</v>
      </c>
      <c r="D22" s="2" t="s">
        <v>504</v>
      </c>
      <c r="E22" s="2" t="s">
        <v>505</v>
      </c>
      <c r="F22" s="2">
        <v>0.78142254799999999</v>
      </c>
      <c r="G22" s="2">
        <v>265000</v>
      </c>
      <c r="H22" s="2">
        <v>339125.10029999999</v>
      </c>
      <c r="I22" s="2">
        <v>13780000</v>
      </c>
      <c r="J22" s="2">
        <v>17634505.217783913</v>
      </c>
      <c r="K22" s="2" t="s">
        <v>382</v>
      </c>
      <c r="L22" s="2">
        <v>1150000</v>
      </c>
      <c r="M22" s="2">
        <v>1471674.9639999999</v>
      </c>
      <c r="N22" s="2">
        <v>66.95</v>
      </c>
      <c r="O22" s="2">
        <v>85.677077240000003</v>
      </c>
      <c r="P22" s="2">
        <v>13800000</v>
      </c>
    </row>
    <row r="23" spans="1:17">
      <c r="A23" s="2" t="s">
        <v>528</v>
      </c>
      <c r="B23" s="2" t="s">
        <v>529</v>
      </c>
      <c r="C23" s="2" t="s">
        <v>530</v>
      </c>
      <c r="D23" s="2" t="s">
        <v>504</v>
      </c>
      <c r="E23" s="2" t="s">
        <v>505</v>
      </c>
      <c r="F23" s="2">
        <v>0.78142254799999999</v>
      </c>
      <c r="G23" s="2">
        <v>75000</v>
      </c>
      <c r="H23" s="2">
        <v>95978.801980000004</v>
      </c>
      <c r="I23" s="2">
        <v>3900000</v>
      </c>
      <c r="J23" s="2">
        <v>4990897.7031463906</v>
      </c>
      <c r="K23" s="2" t="s">
        <v>382</v>
      </c>
      <c r="L23" s="2">
        <v>325000</v>
      </c>
      <c r="M23" s="2">
        <v>415908.14189999999</v>
      </c>
      <c r="N23" s="2">
        <v>66.95</v>
      </c>
      <c r="O23" s="2">
        <v>85.677077240000003</v>
      </c>
      <c r="P23" s="2">
        <v>3900000</v>
      </c>
    </row>
    <row r="24" spans="1:17">
      <c r="A24" s="2" t="s">
        <v>520</v>
      </c>
      <c r="B24" s="2" t="s">
        <v>518</v>
      </c>
      <c r="C24" s="2" t="s">
        <v>511</v>
      </c>
      <c r="D24" s="2" t="s">
        <v>504</v>
      </c>
      <c r="E24" s="2" t="s">
        <v>505</v>
      </c>
      <c r="F24" s="2">
        <v>0.78142254799999999</v>
      </c>
      <c r="G24" s="2">
        <v>282000</v>
      </c>
      <c r="H24" s="2">
        <v>360880.29550000001</v>
      </c>
      <c r="I24" s="2">
        <v>14664000</v>
      </c>
      <c r="J24" s="2">
        <v>18765775.363830429</v>
      </c>
      <c r="K24" s="2" t="s">
        <v>382</v>
      </c>
      <c r="L24" s="2">
        <v>1225000</v>
      </c>
      <c r="M24" s="2">
        <v>1567653.7660000001</v>
      </c>
      <c r="N24" s="2">
        <v>66.95</v>
      </c>
      <c r="O24" s="2">
        <v>85.677077240000003</v>
      </c>
      <c r="P24" s="2">
        <v>14700000</v>
      </c>
    </row>
    <row r="25" spans="1:17">
      <c r="A25" s="2" t="s">
        <v>485</v>
      </c>
      <c r="B25" s="2" t="s">
        <v>508</v>
      </c>
      <c r="C25" s="2" t="s">
        <v>509</v>
      </c>
      <c r="D25" s="2" t="s">
        <v>504</v>
      </c>
      <c r="E25" s="2" t="s">
        <v>505</v>
      </c>
      <c r="F25" s="2">
        <v>0.78142254799999999</v>
      </c>
      <c r="G25" s="2">
        <v>288000</v>
      </c>
      <c r="H25" s="2">
        <v>368558.59960000002</v>
      </c>
      <c r="I25" s="2">
        <v>14976000</v>
      </c>
      <c r="J25" s="2">
        <v>19165047.180082139</v>
      </c>
      <c r="K25" s="2" t="s">
        <v>382</v>
      </c>
      <c r="L25" s="2">
        <v>1250000</v>
      </c>
      <c r="M25" s="2">
        <v>1599646.7</v>
      </c>
      <c r="N25" s="2">
        <v>66.95</v>
      </c>
      <c r="O25" s="2">
        <v>85.677077240000003</v>
      </c>
      <c r="P25" s="2">
        <v>15000000</v>
      </c>
    </row>
    <row r="26" spans="1:17">
      <c r="A26" s="2" t="s">
        <v>517</v>
      </c>
      <c r="B26" s="2" t="s">
        <v>518</v>
      </c>
      <c r="C26" s="2" t="s">
        <v>519</v>
      </c>
      <c r="D26" s="2" t="s">
        <v>504</v>
      </c>
      <c r="E26" s="2" t="s">
        <v>505</v>
      </c>
      <c r="F26" s="2">
        <v>0.78142254799999999</v>
      </c>
      <c r="G26" s="2">
        <v>213000</v>
      </c>
      <c r="H26" s="2">
        <v>272579.79759999999</v>
      </c>
      <c r="I26" s="2">
        <v>11076000</v>
      </c>
      <c r="J26" s="2">
        <v>14174149.476935748</v>
      </c>
      <c r="K26" s="2" t="s">
        <v>382</v>
      </c>
      <c r="L26" s="2">
        <v>916667</v>
      </c>
      <c r="M26" s="2">
        <v>1173074.673</v>
      </c>
      <c r="N26" s="2">
        <v>66.95</v>
      </c>
      <c r="O26" s="2">
        <v>85.677077240000003</v>
      </c>
      <c r="P26" s="2">
        <v>11000000</v>
      </c>
      <c r="Q26" s="2"/>
    </row>
    <row r="27" spans="1:17">
      <c r="A27" s="2" t="s">
        <v>546</v>
      </c>
      <c r="B27" s="2" t="s">
        <v>547</v>
      </c>
      <c r="C27" s="2" t="s">
        <v>548</v>
      </c>
      <c r="D27" s="2" t="s">
        <v>549</v>
      </c>
      <c r="E27" s="2" t="s">
        <v>141</v>
      </c>
      <c r="F27" s="2">
        <v>0.884011989</v>
      </c>
      <c r="G27" s="2">
        <v>280000</v>
      </c>
      <c r="H27" s="2">
        <v>316737.78580000001</v>
      </c>
      <c r="I27" s="2">
        <v>14560000</v>
      </c>
      <c r="J27" s="2">
        <v>16470364.860628605</v>
      </c>
      <c r="K27" s="2" t="s">
        <v>34</v>
      </c>
      <c r="L27" s="2">
        <v>1191667</v>
      </c>
      <c r="M27" s="2">
        <v>1348021.311</v>
      </c>
      <c r="N27" s="2">
        <v>135</v>
      </c>
      <c r="O27" s="2">
        <v>152.712861</v>
      </c>
      <c r="P27" s="2">
        <v>14600000</v>
      </c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</sheetData>
  <sortState ref="A1:P28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E20"/>
  <sheetViews>
    <sheetView tabSelected="1" workbookViewId="0">
      <selection activeCell="A32" sqref="A32"/>
    </sheetView>
  </sheetViews>
  <sheetFormatPr baseColWidth="10" defaultRowHeight="12" x14ac:dyDescent="0"/>
  <cols>
    <col min="1" max="1" width="36" customWidth="1"/>
    <col min="2" max="2" width="17.33203125" customWidth="1"/>
    <col min="3" max="3" width="12.1640625" bestFit="1" customWidth="1"/>
    <col min="4" max="4" width="12.6640625" bestFit="1" customWidth="1"/>
    <col min="5" max="8" width="12.1640625" bestFit="1" customWidth="1"/>
    <col min="9" max="9" width="12.6640625" bestFit="1" customWidth="1"/>
    <col min="10" max="10" width="15.5" bestFit="1" customWidth="1"/>
    <col min="11" max="12" width="12.1640625" bestFit="1" customWidth="1"/>
  </cols>
  <sheetData>
    <row r="1" spans="1:31" s="2" customFormat="1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</row>
    <row r="2" spans="1:31" s="2" customFormat="1">
      <c r="B2" s="2" t="str">
        <f>"scenario_"&amp;B1</f>
        <v>scenario_1</v>
      </c>
      <c r="C2" s="2" t="str">
        <f t="shared" ref="C2:AE2" si="0">"scenario_"&amp;C1</f>
        <v>scenario_2</v>
      </c>
      <c r="D2" s="2" t="str">
        <f t="shared" si="0"/>
        <v>scenario_3</v>
      </c>
      <c r="E2" s="2" t="str">
        <f t="shared" si="0"/>
        <v>scenario_4</v>
      </c>
      <c r="F2" s="2" t="str">
        <f t="shared" si="0"/>
        <v>scenario_5</v>
      </c>
      <c r="G2" s="2" t="str">
        <f t="shared" si="0"/>
        <v>scenario_6</v>
      </c>
      <c r="H2" s="2" t="str">
        <f t="shared" si="0"/>
        <v>scenario_7</v>
      </c>
      <c r="I2" s="2" t="str">
        <f t="shared" si="0"/>
        <v>scenario_8</v>
      </c>
      <c r="J2" s="2" t="str">
        <f t="shared" si="0"/>
        <v>scenario_9</v>
      </c>
      <c r="K2" s="2" t="str">
        <f t="shared" si="0"/>
        <v>scenario_10</v>
      </c>
      <c r="L2" s="2" t="str">
        <f t="shared" si="0"/>
        <v>scenario_11</v>
      </c>
      <c r="M2" s="2" t="str">
        <f t="shared" si="0"/>
        <v>scenario_12</v>
      </c>
      <c r="N2" s="2" t="str">
        <f t="shared" si="0"/>
        <v>scenario_13</v>
      </c>
      <c r="O2" s="2" t="str">
        <f t="shared" si="0"/>
        <v>scenario_14</v>
      </c>
      <c r="P2" s="2" t="str">
        <f t="shared" si="0"/>
        <v>scenario_15</v>
      </c>
      <c r="Q2" s="2" t="str">
        <f t="shared" si="0"/>
        <v>scenario_16</v>
      </c>
      <c r="R2" s="2" t="str">
        <f t="shared" si="0"/>
        <v>scenario_17</v>
      </c>
      <c r="S2" s="2" t="str">
        <f t="shared" si="0"/>
        <v>scenario_18</v>
      </c>
      <c r="T2" s="2" t="str">
        <f t="shared" si="0"/>
        <v>scenario_19</v>
      </c>
      <c r="U2" s="2" t="str">
        <f t="shared" si="0"/>
        <v>scenario_20</v>
      </c>
      <c r="V2" s="2" t="str">
        <f t="shared" si="0"/>
        <v>scenario_21</v>
      </c>
      <c r="W2" s="2" t="str">
        <f t="shared" si="0"/>
        <v>scenario_22</v>
      </c>
      <c r="X2" s="2" t="str">
        <f t="shared" si="0"/>
        <v>scenario_23</v>
      </c>
      <c r="Y2" s="2" t="str">
        <f t="shared" si="0"/>
        <v>scenario_24</v>
      </c>
      <c r="Z2" s="2" t="str">
        <f t="shared" si="0"/>
        <v>scenario_25</v>
      </c>
      <c r="AA2" s="2" t="str">
        <f t="shared" si="0"/>
        <v>scenario_26</v>
      </c>
      <c r="AB2" s="2" t="str">
        <f t="shared" si="0"/>
        <v>scenario_27</v>
      </c>
      <c r="AC2" s="2" t="str">
        <f t="shared" si="0"/>
        <v>scenario_28</v>
      </c>
      <c r="AD2" s="2" t="str">
        <f t="shared" si="0"/>
        <v>scenario_29</v>
      </c>
      <c r="AE2" s="2" t="str">
        <f t="shared" si="0"/>
        <v>scenario_30</v>
      </c>
    </row>
    <row r="3" spans="1:31">
      <c r="A3" t="s">
        <v>602</v>
      </c>
      <c r="B3" t="s">
        <v>380</v>
      </c>
      <c r="C3" s="2" t="s">
        <v>380</v>
      </c>
      <c r="D3" s="2" t="s">
        <v>380</v>
      </c>
      <c r="E3" s="2" t="s">
        <v>380</v>
      </c>
      <c r="F3" s="2" t="s">
        <v>380</v>
      </c>
      <c r="G3" s="2" t="s">
        <v>380</v>
      </c>
      <c r="H3" s="2" t="s">
        <v>380</v>
      </c>
      <c r="I3" s="2" t="s">
        <v>380</v>
      </c>
      <c r="J3" s="2" t="s">
        <v>380</v>
      </c>
      <c r="K3" s="2" t="s">
        <v>380</v>
      </c>
      <c r="L3" s="2" t="s">
        <v>380</v>
      </c>
      <c r="M3" s="2" t="s">
        <v>380</v>
      </c>
      <c r="N3" s="2" t="s">
        <v>380</v>
      </c>
      <c r="O3" s="2" t="s">
        <v>380</v>
      </c>
      <c r="P3" s="2" t="s">
        <v>380</v>
      </c>
      <c r="Q3" s="2" t="s">
        <v>380</v>
      </c>
      <c r="R3" s="2" t="s">
        <v>380</v>
      </c>
      <c r="S3" s="2" t="s">
        <v>380</v>
      </c>
      <c r="T3" s="2" t="s">
        <v>380</v>
      </c>
      <c r="U3" s="2" t="s">
        <v>380</v>
      </c>
      <c r="V3" s="2" t="s">
        <v>380</v>
      </c>
      <c r="W3" s="2" t="s">
        <v>380</v>
      </c>
      <c r="X3" s="2" t="s">
        <v>380</v>
      </c>
      <c r="Y3" s="2" t="s">
        <v>380</v>
      </c>
      <c r="Z3" s="2" t="s">
        <v>380</v>
      </c>
      <c r="AA3" s="2" t="s">
        <v>380</v>
      </c>
      <c r="AB3" s="2" t="s">
        <v>380</v>
      </c>
      <c r="AC3" s="2" t="s">
        <v>380</v>
      </c>
      <c r="AD3" s="2" t="s">
        <v>380</v>
      </c>
      <c r="AE3" s="2" t="s">
        <v>380</v>
      </c>
    </row>
    <row r="4" spans="1:31" s="2" customFormat="1">
      <c r="A4" s="2" t="s">
        <v>605</v>
      </c>
      <c r="B4" s="2">
        <v>39420</v>
      </c>
      <c r="C4" s="2">
        <v>198001</v>
      </c>
      <c r="D4" s="2">
        <v>33575</v>
      </c>
      <c r="E4" s="2">
        <v>20881</v>
      </c>
      <c r="F4" s="2">
        <v>40957</v>
      </c>
      <c r="G4" s="2">
        <v>97462</v>
      </c>
      <c r="H4" s="2">
        <v>156694</v>
      </c>
      <c r="I4" s="2">
        <v>108330</v>
      </c>
      <c r="J4" s="2">
        <v>120126</v>
      </c>
      <c r="K4" s="2">
        <v>195856</v>
      </c>
      <c r="L4" s="2">
        <v>82140</v>
      </c>
      <c r="M4" s="2">
        <v>158044</v>
      </c>
      <c r="N4" s="2">
        <v>55955</v>
      </c>
      <c r="O4" s="2">
        <v>152866</v>
      </c>
      <c r="P4" s="2">
        <v>190298</v>
      </c>
      <c r="Q4" s="2">
        <v>54673</v>
      </c>
      <c r="R4" s="2">
        <v>128947</v>
      </c>
      <c r="S4" s="2">
        <v>57544</v>
      </c>
      <c r="T4" s="2">
        <v>16378</v>
      </c>
      <c r="U4" s="2">
        <v>85906</v>
      </c>
      <c r="V4" s="2">
        <v>114718</v>
      </c>
      <c r="W4" s="2">
        <v>56671</v>
      </c>
      <c r="X4" s="2">
        <v>146519</v>
      </c>
      <c r="Y4" s="2">
        <v>63357</v>
      </c>
      <c r="Z4" s="2">
        <v>69109</v>
      </c>
      <c r="AA4" s="2">
        <v>130733</v>
      </c>
      <c r="AB4" s="2">
        <v>90140</v>
      </c>
      <c r="AC4" s="2">
        <v>119897</v>
      </c>
      <c r="AD4" s="2">
        <v>45673</v>
      </c>
      <c r="AE4" s="2">
        <v>192136</v>
      </c>
    </row>
    <row r="5" spans="1:31">
      <c r="A5" t="s">
        <v>604</v>
      </c>
      <c r="B5" t="s">
        <v>546</v>
      </c>
      <c r="C5" s="2" t="s">
        <v>546</v>
      </c>
      <c r="D5" s="2" t="s">
        <v>512</v>
      </c>
      <c r="E5" s="2" t="s">
        <v>510</v>
      </c>
      <c r="F5" s="2" t="s">
        <v>554</v>
      </c>
      <c r="G5" s="2" t="s">
        <v>554</v>
      </c>
      <c r="H5" s="2" t="s">
        <v>546</v>
      </c>
      <c r="I5" s="2" t="s">
        <v>526</v>
      </c>
      <c r="J5" s="2" t="s">
        <v>537</v>
      </c>
      <c r="K5" s="2" t="s">
        <v>556</v>
      </c>
      <c r="L5" s="2" t="s">
        <v>556</v>
      </c>
      <c r="M5" s="2" t="s">
        <v>506</v>
      </c>
      <c r="N5" s="2" t="s">
        <v>553</v>
      </c>
      <c r="O5" s="2" t="s">
        <v>539</v>
      </c>
      <c r="P5" s="2" t="s">
        <v>550</v>
      </c>
      <c r="Q5" s="2" t="s">
        <v>541</v>
      </c>
      <c r="R5" s="2" t="s">
        <v>501</v>
      </c>
      <c r="S5" s="2" t="s">
        <v>534</v>
      </c>
      <c r="T5" s="2" t="s">
        <v>544</v>
      </c>
      <c r="U5" s="2" t="s">
        <v>521</v>
      </c>
      <c r="V5" s="2" t="s">
        <v>515</v>
      </c>
      <c r="W5" s="2" t="s">
        <v>542</v>
      </c>
      <c r="X5" s="2" t="s">
        <v>531</v>
      </c>
      <c r="Y5" s="2" t="s">
        <v>524</v>
      </c>
      <c r="Z5" s="2" t="s">
        <v>528</v>
      </c>
      <c r="AA5" s="2" t="s">
        <v>520</v>
      </c>
      <c r="AB5" s="2" t="s">
        <v>520</v>
      </c>
      <c r="AC5" s="2" t="s">
        <v>520</v>
      </c>
      <c r="AD5" s="2" t="s">
        <v>485</v>
      </c>
      <c r="AE5" s="2" t="s">
        <v>517</v>
      </c>
    </row>
    <row r="7" spans="1:31">
      <c r="A7" s="2" t="s">
        <v>606</v>
      </c>
      <c r="B7">
        <v>30.873651202898625</v>
      </c>
      <c r="C7">
        <v>155.0739170934838</v>
      </c>
      <c r="D7">
        <v>46.488461538461543</v>
      </c>
      <c r="E7">
        <v>14.456076923076925</v>
      </c>
      <c r="F7">
        <v>53.93631790822942</v>
      </c>
      <c r="G7">
        <v>128.34781395052997</v>
      </c>
      <c r="H7">
        <v>122.72237193269908</v>
      </c>
      <c r="I7">
        <v>104.99676923076923</v>
      </c>
      <c r="J7">
        <v>65.449329780374299</v>
      </c>
      <c r="K7">
        <v>373.73586657253031</v>
      </c>
      <c r="L7">
        <v>156.74099379272343</v>
      </c>
      <c r="M7">
        <v>153.18110769230771</v>
      </c>
      <c r="N7">
        <v>62.926516912707839</v>
      </c>
      <c r="O7">
        <v>75.715780598604042</v>
      </c>
      <c r="P7">
        <v>151.92755699715858</v>
      </c>
      <c r="Q7">
        <v>70.923768279068966</v>
      </c>
      <c r="R7">
        <v>153.34895705521473</v>
      </c>
      <c r="S7">
        <v>27.433188516820898</v>
      </c>
      <c r="T7">
        <v>12.247767070067921</v>
      </c>
      <c r="U7">
        <v>208.15684615384617</v>
      </c>
      <c r="V7">
        <v>145.34407239819004</v>
      </c>
      <c r="W7">
        <v>39.297454000398282</v>
      </c>
      <c r="X7">
        <v>84.246224663472844</v>
      </c>
      <c r="Y7">
        <v>46.345323657474594</v>
      </c>
      <c r="Z7">
        <v>178.6201846153846</v>
      </c>
      <c r="AA7">
        <v>89.865564648117825</v>
      </c>
      <c r="AB7">
        <v>61.962029459901792</v>
      </c>
      <c r="AC7">
        <v>82.416923076923069</v>
      </c>
      <c r="AD7">
        <v>30.741442307692303</v>
      </c>
      <c r="AE7">
        <v>174.85833152762731</v>
      </c>
    </row>
    <row r="8" spans="1:31">
      <c r="A8" s="2" t="s">
        <v>567</v>
      </c>
      <c r="B8">
        <v>1688</v>
      </c>
      <c r="C8">
        <v>1949</v>
      </c>
      <c r="D8">
        <v>1798</v>
      </c>
      <c r="E8">
        <v>1317</v>
      </c>
      <c r="F8">
        <v>1828</v>
      </c>
      <c r="G8">
        <v>1936</v>
      </c>
      <c r="H8">
        <v>1932</v>
      </c>
      <c r="I8">
        <v>1918</v>
      </c>
      <c r="J8">
        <v>1860</v>
      </c>
      <c r="K8">
        <v>1988</v>
      </c>
      <c r="L8">
        <v>1950</v>
      </c>
      <c r="M8">
        <v>1949</v>
      </c>
      <c r="N8">
        <v>1854</v>
      </c>
      <c r="O8">
        <v>1881</v>
      </c>
      <c r="P8">
        <v>1948</v>
      </c>
      <c r="Q8">
        <v>1872</v>
      </c>
      <c r="R8">
        <v>1949</v>
      </c>
      <c r="S8">
        <v>1647</v>
      </c>
      <c r="T8">
        <v>1191</v>
      </c>
      <c r="U8">
        <v>1966</v>
      </c>
      <c r="V8">
        <v>1945</v>
      </c>
      <c r="W8">
        <v>1758</v>
      </c>
      <c r="X8">
        <v>1895</v>
      </c>
      <c r="Y8">
        <v>1797</v>
      </c>
      <c r="Z8">
        <v>1958</v>
      </c>
      <c r="AA8">
        <v>1902</v>
      </c>
      <c r="AB8">
        <v>1852</v>
      </c>
      <c r="AC8">
        <v>1892</v>
      </c>
      <c r="AD8">
        <v>1687</v>
      </c>
      <c r="AE8">
        <v>1957</v>
      </c>
    </row>
    <row r="9" spans="1:31" s="2" customFormat="1">
      <c r="A9" s="2" t="s">
        <v>571</v>
      </c>
      <c r="B9" s="2">
        <v>1.5095119933829613</v>
      </c>
      <c r="C9" s="2">
        <v>7.5820620041050155</v>
      </c>
      <c r="D9" s="2">
        <v>1.2856891217106272</v>
      </c>
      <c r="E9" s="2">
        <v>0.799597157124039</v>
      </c>
      <c r="F9" s="2">
        <v>1.5683684097662594</v>
      </c>
      <c r="G9" s="2">
        <v>3.732117146095641</v>
      </c>
      <c r="H9" s="2">
        <v>6.0002910271727483</v>
      </c>
      <c r="I9" s="2">
        <v>4.1482860031247126</v>
      </c>
      <c r="J9" s="2">
        <v>4.5999908096682294</v>
      </c>
      <c r="K9" s="2">
        <v>7.4999234139019091</v>
      </c>
      <c r="L9" s="2">
        <v>3.1453910486168555</v>
      </c>
      <c r="M9" s="2">
        <v>6.0519866433844935</v>
      </c>
      <c r="N9" s="2">
        <v>2.1426875593542261</v>
      </c>
      <c r="O9" s="2">
        <v>5.8537052354256662</v>
      </c>
      <c r="P9" s="2">
        <v>7.2870906473057016</v>
      </c>
      <c r="Q9" s="2">
        <v>2.093595870477591</v>
      </c>
      <c r="R9" s="2">
        <v>4.9377737953006777</v>
      </c>
      <c r="S9" s="2">
        <v>2.203535214287903</v>
      </c>
      <c r="T9" s="2">
        <v>0.62716355727108419</v>
      </c>
      <c r="U9" s="2">
        <v>3.2896026713231019</v>
      </c>
      <c r="V9" s="2">
        <v>4.392902000428883</v>
      </c>
      <c r="W9" s="2">
        <v>2.170105382470974</v>
      </c>
      <c r="X9" s="2">
        <v>5.610659253132372</v>
      </c>
      <c r="Y9" s="2">
        <v>2.4261327083907731</v>
      </c>
      <c r="Z9" s="2">
        <v>2.6463943265018535</v>
      </c>
      <c r="AA9" s="2">
        <v>5.0061651808963639</v>
      </c>
      <c r="AB9" s="2">
        <v>3.4517354409827532</v>
      </c>
      <c r="AC9" s="2">
        <v>4.5912217014367558</v>
      </c>
      <c r="AD9" s="2">
        <v>1.7489584290659561</v>
      </c>
      <c r="AE9" s="2">
        <v>7.3574732714517665</v>
      </c>
    </row>
    <row r="10" spans="1:31">
      <c r="A10" s="2" t="s">
        <v>573</v>
      </c>
      <c r="B10">
        <v>2.6274197043006238</v>
      </c>
      <c r="C10">
        <v>13.197151924688681</v>
      </c>
      <c r="D10">
        <v>2.2378390809714217</v>
      </c>
      <c r="E10">
        <v>1.3917592807077963</v>
      </c>
      <c r="F10">
        <v>2.7298637450289358</v>
      </c>
      <c r="G10">
        <v>6.4960319436972958</v>
      </c>
      <c r="H10">
        <v>10.443959998622068</v>
      </c>
      <c r="I10">
        <v>7.2204052908900698</v>
      </c>
      <c r="J10">
        <v>8.0066316438055996</v>
      </c>
      <c r="K10">
        <v>13.054183500900633</v>
      </c>
      <c r="L10">
        <v>5.474790829813629</v>
      </c>
      <c r="M10">
        <v>10.53394012548168</v>
      </c>
      <c r="N10">
        <v>3.7295096284662965</v>
      </c>
      <c r="O10">
        <v>10.188816350015708</v>
      </c>
      <c r="P10">
        <v>12.683731986022327</v>
      </c>
      <c r="Q10">
        <v>3.6440618339225779</v>
      </c>
      <c r="R10">
        <v>8.5945684579008752</v>
      </c>
      <c r="S10">
        <v>3.8354195703773493</v>
      </c>
      <c r="T10">
        <v>1.0916255686716292</v>
      </c>
      <c r="U10">
        <v>5.7258020577790312</v>
      </c>
      <c r="V10">
        <v>7.6461779208005831</v>
      </c>
      <c r="W10">
        <v>3.7772324216748006</v>
      </c>
      <c r="X10">
        <v>9.7657764498838944</v>
      </c>
      <c r="Y10">
        <v>4.2228673314402494</v>
      </c>
      <c r="Z10">
        <v>4.6062493238080116</v>
      </c>
      <c r="AA10">
        <v>8.7136088331388493</v>
      </c>
      <c r="AB10">
        <v>6.0080063963890975</v>
      </c>
      <c r="AC10">
        <v>7.9913683482123767</v>
      </c>
      <c r="AD10">
        <v>3.044194321525175</v>
      </c>
      <c r="AE10">
        <v>12.80623826244304</v>
      </c>
    </row>
    <row r="11" spans="1:31">
      <c r="A11" s="2" t="s">
        <v>575</v>
      </c>
      <c r="B11">
        <v>107851.85185185185</v>
      </c>
      <c r="C11">
        <v>107851.85185185185</v>
      </c>
      <c r="D11">
        <v>110303.03030303032</v>
      </c>
      <c r="E11">
        <v>217475.72815533984</v>
      </c>
      <c r="F11">
        <v>115225.16082916368</v>
      </c>
      <c r="G11">
        <v>115225.16082916368</v>
      </c>
      <c r="H11">
        <v>107851.85185185185</v>
      </c>
      <c r="I11">
        <v>155339.80582524271</v>
      </c>
      <c r="J11">
        <v>196226.41509433961</v>
      </c>
      <c r="K11">
        <v>58808.17746846455</v>
      </c>
      <c r="L11">
        <v>58808.17746846455</v>
      </c>
      <c r="M11">
        <v>155339.80582524271</v>
      </c>
      <c r="N11">
        <v>75111.111111111109</v>
      </c>
      <c r="O11">
        <v>215849.05660377358</v>
      </c>
      <c r="P11">
        <v>128761.90476190476</v>
      </c>
      <c r="Q11">
        <v>82415.094339622636</v>
      </c>
      <c r="R11">
        <v>105950</v>
      </c>
      <c r="S11">
        <v>154074.07407407407</v>
      </c>
      <c r="T11">
        <v>98222.222222222219</v>
      </c>
      <c r="U11">
        <v>64009.847668872135</v>
      </c>
      <c r="V11">
        <v>120545.45454545454</v>
      </c>
      <c r="W11">
        <v>105925.92592592591</v>
      </c>
      <c r="X11">
        <v>205225.12506948304</v>
      </c>
      <c r="Y11">
        <v>205825.24271844662</v>
      </c>
      <c r="Z11">
        <v>58252.427184466025</v>
      </c>
      <c r="AA11">
        <v>219029.12621359224</v>
      </c>
      <c r="AB11">
        <v>219029.12621359224</v>
      </c>
      <c r="AC11">
        <v>219029.12621359224</v>
      </c>
      <c r="AD11">
        <v>223689.3203883495</v>
      </c>
      <c r="AE11">
        <v>165436.89320388349</v>
      </c>
    </row>
    <row r="12" spans="1:31">
      <c r="A12" t="s">
        <v>607</v>
      </c>
      <c r="B12">
        <v>256.40628951764137</v>
      </c>
      <c r="C12">
        <v>256.40628951764137</v>
      </c>
      <c r="D12">
        <v>144.60000000000002</v>
      </c>
      <c r="E12">
        <v>290.20000000000005</v>
      </c>
      <c r="F12">
        <v>152.08666813424034</v>
      </c>
      <c r="G12">
        <v>152.08666813424034</v>
      </c>
      <c r="H12">
        <v>256.40628951764137</v>
      </c>
      <c r="I12">
        <v>207</v>
      </c>
      <c r="J12">
        <v>369.0175644466546</v>
      </c>
      <c r="K12">
        <v>104.6483284896</v>
      </c>
      <c r="L12">
        <v>104.6483284896</v>
      </c>
      <c r="M12">
        <v>207</v>
      </c>
      <c r="N12">
        <v>178.26509448550024</v>
      </c>
      <c r="O12">
        <v>406.01932089132009</v>
      </c>
      <c r="P12">
        <v>251.51559070825778</v>
      </c>
      <c r="Q12">
        <v>154.40737706759492</v>
      </c>
      <c r="R12">
        <v>168.52</v>
      </c>
      <c r="S12">
        <v>421.87721651046246</v>
      </c>
      <c r="T12">
        <v>268.58422552541981</v>
      </c>
      <c r="U12">
        <v>82.2</v>
      </c>
      <c r="V12">
        <v>158.12</v>
      </c>
      <c r="W12">
        <v>289.72808635094293</v>
      </c>
      <c r="X12">
        <v>349.61785282358267</v>
      </c>
      <c r="Y12">
        <v>274.60000000000002</v>
      </c>
      <c r="Z12">
        <v>77</v>
      </c>
      <c r="AA12">
        <v>292.28000000000003</v>
      </c>
      <c r="AB12">
        <v>292.28000000000003</v>
      </c>
      <c r="AC12">
        <v>292.28000000000003</v>
      </c>
      <c r="AD12">
        <v>298.52</v>
      </c>
      <c r="AE12">
        <v>220.51999999999998</v>
      </c>
    </row>
    <row r="20" spans="3:31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master!$A$2:$A$217</xm:f>
          </x14:formula1>
          <xm:sqref>B3:AE3</xm:sqref>
        </x14:dataValidation>
        <x14:dataValidation type="list" allowBlank="1" showInputMessage="1" showErrorMessage="1">
          <x14:formula1>
            <xm:f>wages!$A$2:$A$27</xm:f>
          </x14:formula1>
          <xm:sqref>B5:AE5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</vt:lpstr>
      <vt:lpstr>master</vt:lpstr>
      <vt:lpstr>wages</vt:lpstr>
      <vt:lpstr>testing</vt:lpstr>
    </vt:vector>
  </TitlesOfParts>
  <Company>BBC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Nassos Stylianou</dc:creator>
  <cp:lastModifiedBy>Ransome Mpini</cp:lastModifiedBy>
  <dcterms:created xsi:type="dcterms:W3CDTF">2015-01-08T16:05:48Z</dcterms:created>
  <dcterms:modified xsi:type="dcterms:W3CDTF">2015-02-03T09:05:08Z</dcterms:modified>
</cp:coreProperties>
</file>